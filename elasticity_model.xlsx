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vanijprasher/Downloads/"/>
    </mc:Choice>
  </mc:AlternateContent>
  <xr:revisionPtr revIDLastSave="0" documentId="13_ncr:9_{40AE1670-3A69-7846-8799-661FCE67AF3A}" xr6:coauthVersionLast="47" xr6:coauthVersionMax="47" xr10:uidLastSave="{00000000-0000-0000-0000-000000000000}"/>
  <bookViews>
    <workbookView xWindow="0" yWindow="0" windowWidth="33600" windowHeight="21000" xr2:uid="{65753531-D376-8744-99F7-BEFB005CB5C0}"/>
  </bookViews>
  <sheets>
    <sheet name="elasticity_input" sheetId="1" r:id="rId1"/>
  </sheets>
  <definedNames>
    <definedName name="_xlnm._FilterDatabase" localSheetId="0" hidden="1">elasticity_input!$A$1:$M$677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2" i="1"/>
</calcChain>
</file>

<file path=xl/sharedStrings.xml><?xml version="1.0" encoding="utf-8"?>
<sst xmlns="http://purl.oclc.org/ooxml/spreadsheetml/main" count="2721" uniqueCount="470">
  <si>
    <t>product_id</t>
  </si>
  <si>
    <t>product_category_name</t>
  </si>
  <si>
    <t>sale_date</t>
  </si>
  <si>
    <t>quantity_sold</t>
  </si>
  <si>
    <t>unit_price</t>
  </si>
  <si>
    <t>revenue</t>
  </si>
  <si>
    <t>avg_comp_price</t>
  </si>
  <si>
    <t>price_index</t>
  </si>
  <si>
    <t>weekday</t>
  </si>
  <si>
    <t>weekend</t>
  </si>
  <si>
    <t>holiday</t>
  </si>
  <si>
    <t>bed1</t>
  </si>
  <si>
    <t>bed_bath_table</t>
  </si>
  <si>
    <t>4.1000000000000005</t>
  </si>
  <si>
    <t>11.207317073170731</t>
  </si>
  <si>
    <t>137.85000000000002</t>
  </si>
  <si>
    <t>275.70000000000005</t>
  </si>
  <si>
    <t>3.966666666666667</t>
  </si>
  <si>
    <t>11.584033613445378</t>
  </si>
  <si>
    <t>10.218105423529412</t>
  </si>
  <si>
    <t>10.081512605042017</t>
  </si>
  <si>
    <t>759.8100000000001</t>
  </si>
  <si>
    <t>199.95000000000002</t>
  </si>
  <si>
    <t>9.892436974789916</t>
  </si>
  <si>
    <t>garden5</t>
  </si>
  <si>
    <t>garden_tools</t>
  </si>
  <si>
    <t>419.40000000000003</t>
  </si>
  <si>
    <t>4.066666666666666</t>
  </si>
  <si>
    <t>17.188524590163937</t>
  </si>
  <si>
    <t>20.31967213032787</t>
  </si>
  <si>
    <t>23.80200860731707</t>
  </si>
  <si>
    <t>21.707317073170728</t>
  </si>
  <si>
    <t>681.3333333100001</t>
  </si>
  <si>
    <t>23.739837397560972</t>
  </si>
  <si>
    <t>24.146341463414632</t>
  </si>
  <si>
    <t>24.268292682926827</t>
  </si>
  <si>
    <t>24.63414634146341</t>
  </si>
  <si>
    <t>consoles1</t>
  </si>
  <si>
    <t>consoles_games</t>
  </si>
  <si>
    <t>4.033333333333333</t>
  </si>
  <si>
    <t>4.933884297520661</t>
  </si>
  <si>
    <t>477.59999999999997</t>
  </si>
  <si>
    <t>5.341204249586776</t>
  </si>
  <si>
    <t>6.074380165289257</t>
  </si>
  <si>
    <t>8.057851239669422</t>
  </si>
  <si>
    <t>8.691853601652893</t>
  </si>
  <si>
    <t>108.60000000000001</t>
  </si>
  <si>
    <t>4.133333333333334</t>
  </si>
  <si>
    <t>8.758064516129032</t>
  </si>
  <si>
    <t>garden7</t>
  </si>
  <si>
    <t>14.491935483870966</t>
  </si>
  <si>
    <t>14.609756097560973</t>
  </si>
  <si>
    <t>12.517615175609755</t>
  </si>
  <si>
    <t>13.897018970731704</t>
  </si>
  <si>
    <t>12.17073170731707</t>
  </si>
  <si>
    <t>12.536585365853657</t>
  </si>
  <si>
    <t>13.146341463414632</t>
  </si>
  <si>
    <t>476.09999999999997</t>
  </si>
  <si>
    <t>12.902439024390242</t>
  </si>
  <si>
    <t>health9</t>
  </si>
  <si>
    <t>health_beauty</t>
  </si>
  <si>
    <t>4.759523809523809</t>
  </si>
  <si>
    <t>4.133333333333333</t>
  </si>
  <si>
    <t>4.836290322580646</t>
  </si>
  <si>
    <t>419.78999999999996</t>
  </si>
  <si>
    <t>579.7099999999999</t>
  </si>
  <si>
    <t>5.660663083064517</t>
  </si>
  <si>
    <t>5.804032258064517</t>
  </si>
  <si>
    <t>647.7299999999999</t>
  </si>
  <si>
    <t>671.7199999999999</t>
  </si>
  <si>
    <t>455.80999999999995</t>
  </si>
  <si>
    <t>335.85999999999996</t>
  </si>
  <si>
    <t>167.92999999999998</t>
  </si>
  <si>
    <t>cool4</t>
  </si>
  <si>
    <t>cool_stuff</t>
  </si>
  <si>
    <t>4.166666666666667</t>
  </si>
  <si>
    <t>41.713963631999995</t>
  </si>
  <si>
    <t>health3</t>
  </si>
  <si>
    <t>26.852419354838712</t>
  </si>
  <si>
    <t>1514.8699995000002</t>
  </si>
  <si>
    <t>28.654539713114758</t>
  </si>
  <si>
    <t>29.02983870967742</t>
  </si>
  <si>
    <t>29.755645161290325</t>
  </si>
  <si>
    <t>4058.6699999999996</t>
  </si>
  <si>
    <t>perfumery1</t>
  </si>
  <si>
    <t>perfumery</t>
  </si>
  <si>
    <t>13.56904761904762</t>
  </si>
  <si>
    <t>4.233333333333333</t>
  </si>
  <si>
    <t>13.46220472440945</t>
  </si>
  <si>
    <t>11.926771653543307</t>
  </si>
  <si>
    <t>11.808661417322835</t>
  </si>
  <si>
    <t>cool5</t>
  </si>
  <si>
    <t>1099.8899999999999</t>
  </si>
  <si>
    <t>599.9399999999999</t>
  </si>
  <si>
    <t>299.96999999999997</t>
  </si>
  <si>
    <t>20.326199999999996</t>
  </si>
  <si>
    <t>health8</t>
  </si>
  <si>
    <t>539.9399999999999</t>
  </si>
  <si>
    <t>21.77177419354839</t>
  </si>
  <si>
    <t>2159.7599999999998</t>
  </si>
  <si>
    <t>20.25967741935484</t>
  </si>
  <si>
    <t>19.66967213114754</t>
  </si>
  <si>
    <t>19.35241935483871</t>
  </si>
  <si>
    <t>20.037442395967744</t>
  </si>
  <si>
    <t>garden4</t>
  </si>
  <si>
    <t>778.6999999999999</t>
  </si>
  <si>
    <t>3711.2142860100003</t>
  </si>
  <si>
    <t>13.118466899999998</t>
  </si>
  <si>
    <t>13.597560975609754</t>
  </si>
  <si>
    <t>12.282229965853658</t>
  </si>
  <si>
    <t>1401.3999999999999</t>
  </si>
  <si>
    <t>12.940949936585364</t>
  </si>
  <si>
    <t>computers5</t>
  </si>
  <si>
    <t>computers_accessories</t>
  </si>
  <si>
    <t>42.820512820512825</t>
  </si>
  <si>
    <t>30.743589743589745</t>
  </si>
  <si>
    <t>21.119999999999997</t>
  </si>
  <si>
    <t>269.70000000000005</t>
  </si>
  <si>
    <t>236.70000000000002</t>
  </si>
  <si>
    <t>garden10</t>
  </si>
  <si>
    <t>1856.8999999999999</t>
  </si>
  <si>
    <t>13.08494664634146</t>
  </si>
  <si>
    <t>13.518292682926827</t>
  </si>
  <si>
    <t>1832.3999999999999</t>
  </si>
  <si>
    <t>12.414634146341461</t>
  </si>
  <si>
    <t>700.6999999999999</t>
  </si>
  <si>
    <t>13.09988385609756</t>
  </si>
  <si>
    <t>computers6</t>
  </si>
  <si>
    <t>7644.900000000001</t>
  </si>
  <si>
    <t>health6</t>
  </si>
  <si>
    <t>14.997580645161293</t>
  </si>
  <si>
    <t>974.8499999999999</t>
  </si>
  <si>
    <t>15.723387096774195</t>
  </si>
  <si>
    <t>1741.7399999999998</t>
  </si>
  <si>
    <t>16.20725806451613</t>
  </si>
  <si>
    <t>1808.7299999999998</t>
  </si>
  <si>
    <t>1875.7199999999998</t>
  </si>
  <si>
    <t>garden6</t>
  </si>
  <si>
    <t>2216.2999999999997</t>
  </si>
  <si>
    <t>12.782181570731705</t>
  </si>
  <si>
    <t>13.439024390243901</t>
  </si>
  <si>
    <t>12.328088119512195</t>
  </si>
  <si>
    <t>1670.8999999999999</t>
  </si>
  <si>
    <t>13.028085736585364</t>
  </si>
  <si>
    <t>12.173170731707314</t>
  </si>
  <si>
    <t>health10</t>
  </si>
  <si>
    <t>11.457555179032259</t>
  </si>
  <si>
    <t>11.724059138709679</t>
  </si>
  <si>
    <t>13.097991392682925</t>
  </si>
  <si>
    <t>1718.2864284300001</t>
  </si>
  <si>
    <t>12.597407833064517</t>
  </si>
  <si>
    <t>12.091935483870968</t>
  </si>
  <si>
    <t>12.462580645161292</t>
  </si>
  <si>
    <t>557.8100000000001</t>
  </si>
  <si>
    <t>12.268548387096775</t>
  </si>
  <si>
    <t>watches2</t>
  </si>
  <si>
    <t>watches_gifts</t>
  </si>
  <si>
    <t>42.24393442622951</t>
  </si>
  <si>
    <t>41.778688524590166</t>
  </si>
  <si>
    <t>39.442622950819676</t>
  </si>
  <si>
    <t>36.756147540983605</t>
  </si>
  <si>
    <t>34.00645161290322</t>
  </si>
  <si>
    <t>36.04838709677419</t>
  </si>
  <si>
    <t>36.516393442622956</t>
  </si>
  <si>
    <t>2043.9199998000001</t>
  </si>
  <si>
    <t>35.32119815322581</t>
  </si>
  <si>
    <t>29.991935491935482</t>
  </si>
  <si>
    <t>28.83629032258064</t>
  </si>
  <si>
    <t>28.58027859677419</t>
  </si>
  <si>
    <t>33.846774193548384</t>
  </si>
  <si>
    <t>33.62419354838709</t>
  </si>
  <si>
    <t>33.387096774193544</t>
  </si>
  <si>
    <t>health1</t>
  </si>
  <si>
    <t>254.96999999999997</t>
  </si>
  <si>
    <t>20.56209677419355</t>
  </si>
  <si>
    <t>garden8</t>
  </si>
  <si>
    <t>43.545967741935485</t>
  </si>
  <si>
    <t>2759.8500000000004</t>
  </si>
  <si>
    <t>44.87560975609756</t>
  </si>
  <si>
    <t>45.81811846341463</t>
  </si>
  <si>
    <t>43.658536585365844</t>
  </si>
  <si>
    <t>42.72045029268292</t>
  </si>
  <si>
    <t>38.78048780487804</t>
  </si>
  <si>
    <t>33.90243902439024</t>
  </si>
  <si>
    <t>garden9</t>
  </si>
  <si>
    <t>1257.8999999999999</t>
  </si>
  <si>
    <t>13.019293775609755</t>
  </si>
  <si>
    <t>13.602675058536585</t>
  </si>
  <si>
    <t>12.44512195121951</t>
  </si>
  <si>
    <t>12.82113821219512</t>
  </si>
  <si>
    <t>449.09999999999997</t>
  </si>
  <si>
    <t>watches6</t>
  </si>
  <si>
    <t>39.43548387096774</t>
  </si>
  <si>
    <t>39.094574782258064</t>
  </si>
  <si>
    <t>38.87158809677419</t>
  </si>
  <si>
    <t>35.99481566129032</t>
  </si>
  <si>
    <t>32.637096774193544</t>
  </si>
  <si>
    <t>32.177419354838705</t>
  </si>
  <si>
    <t>31.026209685483867</t>
  </si>
  <si>
    <t>28.413215395161288</t>
  </si>
  <si>
    <t>25.560151209677414</t>
  </si>
  <si>
    <t>25.111094370967738</t>
  </si>
  <si>
    <t>28.79032258064516</t>
  </si>
  <si>
    <t>28.63636364516129</t>
  </si>
  <si>
    <t>27.096774193548384</t>
  </si>
  <si>
    <t>cool3</t>
  </si>
  <si>
    <t>7.023809523809524</t>
  </si>
  <si>
    <t>7.079999999999999</t>
  </si>
  <si>
    <t>8.399999999999999</t>
  </si>
  <si>
    <t>4.266666666666667</t>
  </si>
  <si>
    <t>perfumery2</t>
  </si>
  <si>
    <t>33.661417322834644</t>
  </si>
  <si>
    <t>27.88582677165354</t>
  </si>
  <si>
    <t>27.874015748031496</t>
  </si>
  <si>
    <t>707.4000000000001</t>
  </si>
  <si>
    <t>27.850393700787404</t>
  </si>
  <si>
    <t>27.84776903149606</t>
  </si>
  <si>
    <t>27.80314960629921</t>
  </si>
  <si>
    <t>27.86811023622047</t>
  </si>
  <si>
    <t>2038.3000000000002</t>
  </si>
  <si>
    <t>28.03937007874016</t>
  </si>
  <si>
    <t>27.61574803937008</t>
  </si>
  <si>
    <t>cool2</t>
  </si>
  <si>
    <t>1819.8600000000001</t>
  </si>
  <si>
    <t>28.062599999999996</t>
  </si>
  <si>
    <t>1199.8999999999999</t>
  </si>
  <si>
    <t>28.797599999999996</t>
  </si>
  <si>
    <t>computers1</t>
  </si>
  <si>
    <t>605.4000000000001</t>
  </si>
  <si>
    <t>24.811475409836067</t>
  </si>
  <si>
    <t>27.02459016393443</t>
  </si>
  <si>
    <t>24.319672131147545</t>
  </si>
  <si>
    <t>593.4000000000001</t>
  </si>
  <si>
    <t>2542.6826088000003</t>
  </si>
  <si>
    <t>1194.1585714799999</t>
  </si>
  <si>
    <t>15.922114286399998</t>
  </si>
  <si>
    <t>consoles2</t>
  </si>
  <si>
    <t>218.89999999999998</t>
  </si>
  <si>
    <t>248.00000004000003</t>
  </si>
  <si>
    <t>5.1239669429752075</t>
  </si>
  <si>
    <t>3.9333333333333336</t>
  </si>
  <si>
    <t>6.872881355084746</t>
  </si>
  <si>
    <t>229.19999997999997</t>
  </si>
  <si>
    <t>8.118063753719008</t>
  </si>
  <si>
    <t>205.20000000000002</t>
  </si>
  <si>
    <t>8.479338842975208</t>
  </si>
  <si>
    <t>health5</t>
  </si>
  <si>
    <t>84.65322580645162</t>
  </si>
  <si>
    <t>2449.2999999999997</t>
  </si>
  <si>
    <t>3543.4999995999997</t>
  </si>
  <si>
    <t>4198.799999999999</t>
  </si>
  <si>
    <t>5948.299999999999</t>
  </si>
  <si>
    <t>88.06451612903227</t>
  </si>
  <si>
    <t>watches8</t>
  </si>
  <si>
    <t>58.512195121951216</t>
  </si>
  <si>
    <t>56.073170731707314</t>
  </si>
  <si>
    <t>49.50439882258064</t>
  </si>
  <si>
    <t>40.524193548387096</t>
  </si>
  <si>
    <t>36.37313895967741</t>
  </si>
  <si>
    <t>36.927419346774194</t>
  </si>
  <si>
    <t>38.01843316935483</t>
  </si>
  <si>
    <t>1737.3999995000001</t>
  </si>
  <si>
    <t>38.212609959677415</t>
  </si>
  <si>
    <t>furniture4</t>
  </si>
  <si>
    <t>furniture_decor</t>
  </si>
  <si>
    <t>25.39830508474576</t>
  </si>
  <si>
    <t>299.70000000000005</t>
  </si>
  <si>
    <t>1198.8000000000002</t>
  </si>
  <si>
    <t>19.966707022881355</t>
  </si>
  <si>
    <t>21.31355932118644</t>
  </si>
  <si>
    <t>watches5</t>
  </si>
  <si>
    <t>53.42926829268292</t>
  </si>
  <si>
    <t>52.71951219512194</t>
  </si>
  <si>
    <t>49.18328445967741</t>
  </si>
  <si>
    <t>54.32488478225806</t>
  </si>
  <si>
    <t>2207.7000000000003</t>
  </si>
  <si>
    <t>53.84634146341463</t>
  </si>
  <si>
    <t>49.76267281451612</t>
  </si>
  <si>
    <t>52.30342741935483</t>
  </si>
  <si>
    <t>49.44789082258064</t>
  </si>
  <si>
    <t>48.14516129032258</t>
  </si>
  <si>
    <t>health7</t>
  </si>
  <si>
    <t>16.522881355932203</t>
  </si>
  <si>
    <t>15.981147540983606</t>
  </si>
  <si>
    <t>1234.7900000099999</t>
  </si>
  <si>
    <t>14.22569124435484</t>
  </si>
  <si>
    <t>888.8500000500001</t>
  </si>
  <si>
    <t>14.336290323387098</t>
  </si>
  <si>
    <t>14.271774193548389</t>
  </si>
  <si>
    <t>bed3</t>
  </si>
  <si>
    <t>3.733333333333333</t>
  </si>
  <si>
    <t>26.517857142857146</t>
  </si>
  <si>
    <t>26.330357142857146</t>
  </si>
  <si>
    <t>24.642857142857146</t>
  </si>
  <si>
    <t>24.34151785714286</t>
  </si>
  <si>
    <t>23.635714285714286</t>
  </si>
  <si>
    <t>1188.6000000000001</t>
  </si>
  <si>
    <t>22.741071428571434</t>
  </si>
  <si>
    <t>garden3</t>
  </si>
  <si>
    <t>24.587704918032788</t>
  </si>
  <si>
    <t>23.76803278770492</t>
  </si>
  <si>
    <t>26.826829268292677</t>
  </si>
  <si>
    <t>29.26585365853658</t>
  </si>
  <si>
    <t>29.268292682926827</t>
  </si>
  <si>
    <t>25.42682926829268</t>
  </si>
  <si>
    <t>22.583902439024385</t>
  </si>
  <si>
    <t>21.948780487804875</t>
  </si>
  <si>
    <t>1479.9800003999999</t>
  </si>
  <si>
    <t>30.080894317073167</t>
  </si>
  <si>
    <t>679.9999998000001</t>
  </si>
  <si>
    <t>27.642276414634143</t>
  </si>
  <si>
    <t>26.829268292682922</t>
  </si>
  <si>
    <t>23.574796748780486</t>
  </si>
  <si>
    <t>24.387804878048776</t>
  </si>
  <si>
    <t>bed2</t>
  </si>
  <si>
    <t>22.85593220338983</t>
  </si>
  <si>
    <t>1977.8000000000002</t>
  </si>
  <si>
    <t>3056.6000000000004</t>
  </si>
  <si>
    <t>5214.200000000001</t>
  </si>
  <si>
    <t>21.926829268292682</t>
  </si>
  <si>
    <t>4584.900000000001</t>
  </si>
  <si>
    <t>2067.7000000000003</t>
  </si>
  <si>
    <t>1258.6000000000001</t>
  </si>
  <si>
    <t>1592.7882352200002</t>
  </si>
  <si>
    <t>1477.3000000000002</t>
  </si>
  <si>
    <t>22.093220338983052</t>
  </si>
  <si>
    <t>1911.8000000000002</t>
  </si>
  <si>
    <t>21.621610169491525</t>
  </si>
  <si>
    <t>21.26685136779661</t>
  </si>
  <si>
    <t>779.3333332999999</t>
  </si>
  <si>
    <t>19.81355932118644</t>
  </si>
  <si>
    <t>18.813559322033896</t>
  </si>
  <si>
    <t>furniture3</t>
  </si>
  <si>
    <t>9.762711864406779</t>
  </si>
  <si>
    <t>230.39999999999998</t>
  </si>
  <si>
    <t>3.8333333333333335</t>
  </si>
  <si>
    <t>10.017391304347825</t>
  </si>
  <si>
    <t>8.791824526271187</t>
  </si>
  <si>
    <t>3.9666666666666663</t>
  </si>
  <si>
    <t>9.680672268907564</t>
  </si>
  <si>
    <t>496.80000005999995</t>
  </si>
  <si>
    <t>9.021791768644066</t>
  </si>
  <si>
    <t>8.898305084745763</t>
  </si>
  <si>
    <t>watches4</t>
  </si>
  <si>
    <t>26.129032258064512</t>
  </si>
  <si>
    <t>25.558755749999996</t>
  </si>
  <si>
    <t>25.403225806451612</t>
  </si>
  <si>
    <t>watches3</t>
  </si>
  <si>
    <t>19.83050847457627</t>
  </si>
  <si>
    <t>19.338842975206614</t>
  </si>
  <si>
    <t>18.87096774193548</t>
  </si>
  <si>
    <t>furniture2</t>
  </si>
  <si>
    <t>19.06779661016949</t>
  </si>
  <si>
    <t>18.442622950819672</t>
  </si>
  <si>
    <t>17.795422144067796</t>
  </si>
  <si>
    <t>3075.6000000000004</t>
  </si>
  <si>
    <t>17.771186440677965</t>
  </si>
  <si>
    <t>5801.700000000001</t>
  </si>
  <si>
    <t>309.69999989999997</t>
  </si>
  <si>
    <t>26.24576270338983</t>
  </si>
  <si>
    <t>garden2</t>
  </si>
  <si>
    <t>14.261904761904761</t>
  </si>
  <si>
    <t>13.280487804878048</t>
  </si>
  <si>
    <t>12.495934958536584</t>
  </si>
  <si>
    <t>furniture1</t>
  </si>
  <si>
    <t>460.79999999999995</t>
  </si>
  <si>
    <t>3.8000000000000003</t>
  </si>
  <si>
    <t>10.105263157894736</t>
  </si>
  <si>
    <t>9.369733655084746</t>
  </si>
  <si>
    <t>345.59999999999997</t>
  </si>
  <si>
    <t>health2</t>
  </si>
  <si>
    <t>78.62903225806453</t>
  </si>
  <si>
    <t>78.84504607258066</t>
  </si>
  <si>
    <t>80.48780487804876</t>
  </si>
  <si>
    <t>79.83870967741936</t>
  </si>
  <si>
    <t>garden1</t>
  </si>
  <si>
    <t>23.807142857142853</t>
  </si>
  <si>
    <t>659.9399999999999</t>
  </si>
  <si>
    <t>24.999999999999996</t>
  </si>
  <si>
    <t>23.241463414634143</t>
  </si>
  <si>
    <t>31.15299334146341</t>
  </si>
  <si>
    <t>23.98130081219512</t>
  </si>
  <si>
    <t>cool1</t>
  </si>
  <si>
    <t>599.9299999699999</t>
  </si>
  <si>
    <t>20.73490783306451</t>
  </si>
  <si>
    <t>2199.7799999999997</t>
  </si>
  <si>
    <t>24.19112903225806</t>
  </si>
  <si>
    <t>computers4</t>
  </si>
  <si>
    <t>38.707258064516125</t>
  </si>
  <si>
    <t>33.86854838709677</t>
  </si>
  <si>
    <t>1019.9299999000001</t>
  </si>
  <si>
    <t>35.25103686290323</t>
  </si>
  <si>
    <t>36.77177419354839</t>
  </si>
  <si>
    <t>2629.8300007999997</t>
  </si>
  <si>
    <t>37.426423161290316</t>
  </si>
  <si>
    <t>36.28790322580645</t>
  </si>
  <si>
    <t>3449.7700000000004</t>
  </si>
  <si>
    <t>37.562724335999995</t>
  </si>
  <si>
    <t>5990.285712399999</t>
  </si>
  <si>
    <t>32.67428570399999</t>
  </si>
  <si>
    <t>1079.9099999999999</t>
  </si>
  <si>
    <t>watches7</t>
  </si>
  <si>
    <t>85.46218487394958</t>
  </si>
  <si>
    <t>87.26672268907564</t>
  </si>
  <si>
    <t>83.63870968548387</t>
  </si>
  <si>
    <t>84.38709677419354</t>
  </si>
  <si>
    <t>85.68907563025209</t>
  </si>
  <si>
    <t>1846.9999997999998</t>
  </si>
  <si>
    <t>74.47580644354838</t>
  </si>
  <si>
    <t>1684.0000002000002</t>
  </si>
  <si>
    <t>67.90322581451612</t>
  </si>
  <si>
    <t>62.65392706451612</t>
  </si>
  <si>
    <t>59.49193548387096</t>
  </si>
  <si>
    <t>40.97160924193548</t>
  </si>
  <si>
    <t>computers3</t>
  </si>
  <si>
    <t>43.07834102419354</t>
  </si>
  <si>
    <t>36.25463709677419</t>
  </si>
  <si>
    <t>35.467741935483865</t>
  </si>
  <si>
    <t>35.07096774193548</t>
  </si>
  <si>
    <t>33.52983870967741</t>
  </si>
  <si>
    <t>33.36290322580645</t>
  </si>
  <si>
    <t>2482.2000000000003</t>
  </si>
  <si>
    <t>31.919999999999998</t>
  </si>
  <si>
    <t>398.90999999999997</t>
  </si>
  <si>
    <t>31.912799999999997</t>
  </si>
  <si>
    <t>health4</t>
  </si>
  <si>
    <t>7.233870967741936</t>
  </si>
  <si>
    <t>179.39999999999998</t>
  </si>
  <si>
    <t>7.119047619047619</t>
  </si>
  <si>
    <t>209.29999999999998</t>
  </si>
  <si>
    <t>538.1999999999999</t>
  </si>
  <si>
    <t>watches1</t>
  </si>
  <si>
    <t>3.8666666666666667</t>
  </si>
  <si>
    <t>62.32913793103448</t>
  </si>
  <si>
    <t>66.10603448275863</t>
  </si>
  <si>
    <t>1973.8300000000002</t>
  </si>
  <si>
    <t>3291.3999999999996</t>
  </si>
  <si>
    <t>3139.7999993999997</t>
  </si>
  <si>
    <t>42.20161289516128</t>
  </si>
  <si>
    <t>929.8000000000001</t>
  </si>
  <si>
    <t>44.990322580645156</t>
  </si>
  <si>
    <t>44.03225806451613</t>
  </si>
  <si>
    <t>36.744783266129026</t>
  </si>
  <si>
    <t>36.32258063709677</t>
  </si>
  <si>
    <t>32.06401209677419</t>
  </si>
  <si>
    <t>33.44032258064516</t>
  </si>
  <si>
    <t>37.49999999999999</t>
  </si>
  <si>
    <t>1601.0600001000003</t>
  </si>
  <si>
    <t>35.21392962096774</t>
  </si>
  <si>
    <t>computers2</t>
  </si>
  <si>
    <t>28.179487179487182</t>
  </si>
  <si>
    <t>1318.8000000000002</t>
  </si>
  <si>
    <t>23.434199999999997</t>
  </si>
  <si>
    <t>18.890947367999996</t>
  </si>
  <si>
    <t>2187.6456520799998</t>
  </si>
  <si>
    <t>19.445739129599996</t>
  </si>
  <si>
    <t>19.151999999999997</t>
  </si>
  <si>
    <t>545.3000000000001</t>
  </si>
  <si>
    <t>bed4</t>
  </si>
  <si>
    <t>11.380165289256198</t>
  </si>
  <si>
    <t>10.947382919008264</t>
  </si>
  <si>
    <t>11.87603305785124</t>
  </si>
  <si>
    <t>bed5</t>
  </si>
  <si>
    <t>52.439024390243894</t>
  </si>
  <si>
    <t>50.975609756097555</t>
  </si>
  <si>
    <t>49.99999999999999</t>
  </si>
  <si>
    <t>10374.509802800001</t>
  </si>
  <si>
    <t>39.85334382926829</t>
  </si>
  <si>
    <t>ln_quantity</t>
  </si>
  <si>
    <t>ln_price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</si>
</sst>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37FE-AD6E-684A-A517-0D23F529546C}">
  <dimension ref="A1:M677"/>
  <sheetViews>
    <sheetView tabSelected="1" workbookViewId="0">
      <selection activeCell="L16" sqref="L16"/>
    </sheetView>
  </sheetViews>
  <sheetFormatPr baseColWidth="10" defaultColWidth="16.1640625" defaultRowHeight="16" x14ac:dyDescent="0.2"/>
  <sheetData>
    <row r="1" spans="1:13" ht="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468</v>
      </c>
      <c r="M1" s="3" t="s">
        <v>469</v>
      </c>
    </row>
    <row r="2" spans="1:13" x14ac:dyDescent="0.2">
      <c r="A2" t="s">
        <v>11</v>
      </c>
      <c r="B2" t="s">
        <v>12</v>
      </c>
      <c r="C2" s="1" t="d">
        <v>2017-05-01</v>
      </c>
      <c r="D2">
        <v>1</v>
      </c>
      <c r="E2">
        <v>45.95</v>
      </c>
      <c r="F2">
        <v>45.95</v>
      </c>
      <c r="G2" s="2" t="s">
        <v>13</v>
      </c>
      <c r="H2" s="2" t="s">
        <v>14</v>
      </c>
      <c r="I2">
        <v>23</v>
      </c>
      <c r="J2">
        <v>8</v>
      </c>
      <c r="K2">
        <v>1</v>
      </c>
      <c r="L2">
        <f>IF(D2&gt;0, LN(D2), "")</f>
        <v>0</v>
      </c>
      <c r="M2">
        <f>LN(E2)</f>
        <v>3.827553848801696</v>
      </c>
    </row>
    <row r="3" spans="1:13" x14ac:dyDescent="0.2">
      <c r="A3" t="s">
        <v>11</v>
      </c>
      <c r="B3" t="s">
        <v>12</v>
      </c>
      <c r="C3" s="1" t="d">
        <v>2017-06-01</v>
      </c>
      <c r="D3">
        <v>3</v>
      </c>
      <c r="E3">
        <v>45.95</v>
      </c>
      <c r="F3" s="2" t="s">
        <v>15</v>
      </c>
      <c r="G3" s="2" t="s">
        <v>13</v>
      </c>
      <c r="H3" s="2" t="s">
        <v>14</v>
      </c>
      <c r="I3">
        <v>22</v>
      </c>
      <c r="J3">
        <v>8</v>
      </c>
      <c r="K3">
        <v>1</v>
      </c>
      <c r="L3">
        <f t="shared" ref="L3:L66" si="0">IF(D3&gt;0, LN(D3), "")</f>
        <v>1.0986122886681098</v>
      </c>
      <c r="M3">
        <f t="shared" ref="M3:M66" si="1">LN(E3)</f>
        <v>3.827553848801696</v>
      </c>
    </row>
    <row r="4" spans="1:13" x14ac:dyDescent="0.2">
      <c r="A4" t="s">
        <v>11</v>
      </c>
      <c r="B4" t="s">
        <v>12</v>
      </c>
      <c r="C4" s="1" t="d">
        <v>2017-07-01</v>
      </c>
      <c r="D4">
        <v>6</v>
      </c>
      <c r="E4">
        <v>45.95</v>
      </c>
      <c r="F4" s="2" t="s">
        <v>16</v>
      </c>
      <c r="G4" s="2" t="s">
        <v>13</v>
      </c>
      <c r="H4" s="2" t="s">
        <v>14</v>
      </c>
      <c r="I4">
        <v>21</v>
      </c>
      <c r="J4">
        <v>10</v>
      </c>
      <c r="K4">
        <v>1</v>
      </c>
      <c r="L4">
        <f t="shared" si="0"/>
        <v>1.791759469228055</v>
      </c>
      <c r="M4">
        <f t="shared" si="1"/>
        <v>3.827553848801696</v>
      </c>
    </row>
    <row r="5" spans="1:13" x14ac:dyDescent="0.2">
      <c r="A5" t="s">
        <v>11</v>
      </c>
      <c r="B5" t="s">
        <v>12</v>
      </c>
      <c r="C5" s="1" t="d">
        <v>2017-08-01</v>
      </c>
      <c r="D5">
        <v>4</v>
      </c>
      <c r="E5">
        <v>45.95</v>
      </c>
      <c r="F5">
        <v>183.8</v>
      </c>
      <c r="G5" s="2" t="s">
        <v>13</v>
      </c>
      <c r="H5" s="2" t="s">
        <v>14</v>
      </c>
      <c r="I5">
        <v>23</v>
      </c>
      <c r="J5">
        <v>8</v>
      </c>
      <c r="K5">
        <v>1</v>
      </c>
      <c r="L5">
        <f t="shared" si="0"/>
        <v>1.3862943611198906</v>
      </c>
      <c r="M5">
        <f t="shared" si="1"/>
        <v>3.827553848801696</v>
      </c>
    </row>
    <row r="6" spans="1:13" x14ac:dyDescent="0.2">
      <c r="A6" t="s">
        <v>11</v>
      </c>
      <c r="B6" t="s">
        <v>12</v>
      </c>
      <c r="C6" s="1" t="d">
        <v>2017-09-01</v>
      </c>
      <c r="D6">
        <v>2</v>
      </c>
      <c r="E6">
        <v>45.95</v>
      </c>
      <c r="F6">
        <v>91.9</v>
      </c>
      <c r="G6" s="2" t="s">
        <v>13</v>
      </c>
      <c r="H6" s="2" t="s">
        <v>14</v>
      </c>
      <c r="I6">
        <v>21</v>
      </c>
      <c r="J6">
        <v>9</v>
      </c>
      <c r="K6">
        <v>1</v>
      </c>
      <c r="L6">
        <f t="shared" si="0"/>
        <v>0.69314718055994529</v>
      </c>
      <c r="M6">
        <f t="shared" si="1"/>
        <v>3.827553848801696</v>
      </c>
    </row>
    <row r="7" spans="1:13" x14ac:dyDescent="0.2">
      <c r="A7" t="s">
        <v>11</v>
      </c>
      <c r="B7" t="s">
        <v>12</v>
      </c>
      <c r="C7" s="1" t="d">
        <v>2017-10-01</v>
      </c>
      <c r="D7">
        <v>3</v>
      </c>
      <c r="E7">
        <v>45.95</v>
      </c>
      <c r="F7" s="2" t="s">
        <v>15</v>
      </c>
      <c r="G7" s="2" t="s">
        <v>17</v>
      </c>
      <c r="H7" s="2" t="s">
        <v>18</v>
      </c>
      <c r="I7">
        <v>22</v>
      </c>
      <c r="J7">
        <v>9</v>
      </c>
      <c r="K7">
        <v>2</v>
      </c>
      <c r="L7">
        <f t="shared" si="0"/>
        <v>1.0986122886681098</v>
      </c>
      <c r="M7">
        <f t="shared" si="1"/>
        <v>3.827553848801696</v>
      </c>
    </row>
    <row r="8" spans="1:13" x14ac:dyDescent="0.2">
      <c r="A8" t="s">
        <v>11</v>
      </c>
      <c r="B8" t="s">
        <v>12</v>
      </c>
      <c r="C8" s="1" t="d">
        <v>2017-11-01</v>
      </c>
      <c r="D8">
        <v>11</v>
      </c>
      <c r="E8">
        <v>40.531818180000002</v>
      </c>
      <c r="F8">
        <v>445.84999998000001</v>
      </c>
      <c r="G8" s="2" t="s">
        <v>17</v>
      </c>
      <c r="H8" s="2" t="s">
        <v>19</v>
      </c>
      <c r="I8">
        <v>22</v>
      </c>
      <c r="J8">
        <v>8</v>
      </c>
      <c r="K8">
        <v>4</v>
      </c>
      <c r="L8">
        <f t="shared" si="0"/>
        <v>2.3978952727983707</v>
      </c>
      <c r="M8">
        <f t="shared" si="1"/>
        <v>3.7020872997376597</v>
      </c>
    </row>
    <row r="9" spans="1:13" x14ac:dyDescent="0.2">
      <c r="A9" t="s">
        <v>11</v>
      </c>
      <c r="B9" t="s">
        <v>12</v>
      </c>
      <c r="C9" s="1" t="d">
        <v>2017-12-01</v>
      </c>
      <c r="D9">
        <v>6</v>
      </c>
      <c r="E9">
        <v>39.99</v>
      </c>
      <c r="F9">
        <v>239.94</v>
      </c>
      <c r="G9" s="2" t="s">
        <v>17</v>
      </c>
      <c r="H9" s="2" t="s">
        <v>20</v>
      </c>
      <c r="I9">
        <v>21</v>
      </c>
      <c r="J9">
        <v>10</v>
      </c>
      <c r="K9">
        <v>1</v>
      </c>
      <c r="L9">
        <f t="shared" si="0"/>
        <v>1.791759469228055</v>
      </c>
      <c r="M9">
        <f t="shared" si="1"/>
        <v>3.6886294228587269</v>
      </c>
    </row>
    <row r="10" spans="1:13" x14ac:dyDescent="0.2">
      <c r="A10" t="s">
        <v>11</v>
      </c>
      <c r="B10" t="s">
        <v>12</v>
      </c>
      <c r="C10" s="1" t="d">
        <v>2018-01-01</v>
      </c>
      <c r="D10">
        <v>19</v>
      </c>
      <c r="E10">
        <v>39.99</v>
      </c>
      <c r="F10" s="2" t="s">
        <v>21</v>
      </c>
      <c r="G10" s="2" t="s">
        <v>17</v>
      </c>
      <c r="H10" s="2" t="s">
        <v>20</v>
      </c>
      <c r="I10">
        <v>23</v>
      </c>
      <c r="J10">
        <v>8</v>
      </c>
      <c r="K10">
        <v>2</v>
      </c>
      <c r="L10">
        <f t="shared" si="0"/>
        <v>2.9444389791664403</v>
      </c>
      <c r="M10">
        <f t="shared" si="1"/>
        <v>3.6886294228587269</v>
      </c>
    </row>
    <row r="11" spans="1:13" x14ac:dyDescent="0.2">
      <c r="A11" t="s">
        <v>11</v>
      </c>
      <c r="B11" t="s">
        <v>12</v>
      </c>
      <c r="C11" s="1" t="d">
        <v>2018-02-01</v>
      </c>
      <c r="D11">
        <v>18</v>
      </c>
      <c r="E11">
        <v>39.99</v>
      </c>
      <c r="F11">
        <v>719.82</v>
      </c>
      <c r="G11" s="2" t="s">
        <v>17</v>
      </c>
      <c r="H11" s="2" t="s">
        <v>20</v>
      </c>
      <c r="I11">
        <v>20</v>
      </c>
      <c r="J11">
        <v>8</v>
      </c>
      <c r="K11">
        <v>2</v>
      </c>
      <c r="L11">
        <f t="shared" si="0"/>
        <v>2.8903717578961645</v>
      </c>
      <c r="M11">
        <f t="shared" si="1"/>
        <v>3.6886294228587269</v>
      </c>
    </row>
    <row r="12" spans="1:13" x14ac:dyDescent="0.2">
      <c r="A12" t="s">
        <v>11</v>
      </c>
      <c r="B12" t="s">
        <v>12</v>
      </c>
      <c r="C12" s="1" t="d">
        <v>2018-03-01</v>
      </c>
      <c r="D12">
        <v>17</v>
      </c>
      <c r="E12">
        <v>39.99</v>
      </c>
      <c r="F12">
        <v>679.83</v>
      </c>
      <c r="G12" s="2" t="s">
        <v>17</v>
      </c>
      <c r="H12" s="2" t="s">
        <v>20</v>
      </c>
      <c r="I12">
        <v>22</v>
      </c>
      <c r="J12">
        <v>9</v>
      </c>
      <c r="K12">
        <v>1</v>
      </c>
      <c r="L12">
        <f t="shared" si="0"/>
        <v>2.8332133440562162</v>
      </c>
      <c r="M12">
        <f t="shared" si="1"/>
        <v>3.6886294228587269</v>
      </c>
    </row>
    <row r="13" spans="1:13" x14ac:dyDescent="0.2">
      <c r="A13" t="s">
        <v>11</v>
      </c>
      <c r="B13" t="s">
        <v>12</v>
      </c>
      <c r="C13" s="1" t="d">
        <v>2018-04-01</v>
      </c>
      <c r="D13">
        <v>13</v>
      </c>
      <c r="E13">
        <v>39.99</v>
      </c>
      <c r="F13">
        <v>519.87</v>
      </c>
      <c r="G13" s="2" t="s">
        <v>17</v>
      </c>
      <c r="H13" s="2" t="s">
        <v>20</v>
      </c>
      <c r="I13">
        <v>21</v>
      </c>
      <c r="J13">
        <v>9</v>
      </c>
      <c r="K13">
        <v>1</v>
      </c>
      <c r="L13">
        <f t="shared" si="0"/>
        <v>2.5649493574615367</v>
      </c>
      <c r="M13">
        <f t="shared" si="1"/>
        <v>3.6886294228587269</v>
      </c>
    </row>
    <row r="14" spans="1:13" x14ac:dyDescent="0.2">
      <c r="A14" t="s">
        <v>11</v>
      </c>
      <c r="B14" t="s">
        <v>12</v>
      </c>
      <c r="C14" s="1" t="d">
        <v>2018-05-01</v>
      </c>
      <c r="D14">
        <v>19</v>
      </c>
      <c r="E14">
        <v>39.99</v>
      </c>
      <c r="F14" s="2" t="s">
        <v>21</v>
      </c>
      <c r="G14" s="2" t="s">
        <v>17</v>
      </c>
      <c r="H14" s="2" t="s">
        <v>20</v>
      </c>
      <c r="I14">
        <v>23</v>
      </c>
      <c r="J14">
        <v>8</v>
      </c>
      <c r="K14">
        <v>3</v>
      </c>
      <c r="L14">
        <f t="shared" si="0"/>
        <v>2.9444389791664403</v>
      </c>
      <c r="M14">
        <f t="shared" si="1"/>
        <v>3.6886294228587269</v>
      </c>
    </row>
    <row r="15" spans="1:13" x14ac:dyDescent="0.2">
      <c r="A15" t="s">
        <v>11</v>
      </c>
      <c r="B15" t="s">
        <v>12</v>
      </c>
      <c r="C15" s="1" t="d">
        <v>2018-06-01</v>
      </c>
      <c r="D15">
        <v>5</v>
      </c>
      <c r="E15">
        <v>39.99</v>
      </c>
      <c r="F15" s="2" t="s">
        <v>22</v>
      </c>
      <c r="G15" s="2" t="s">
        <v>17</v>
      </c>
      <c r="H15" s="2" t="s">
        <v>20</v>
      </c>
      <c r="I15">
        <v>21</v>
      </c>
      <c r="J15">
        <v>9</v>
      </c>
      <c r="K15">
        <v>0</v>
      </c>
      <c r="L15">
        <f t="shared" si="0"/>
        <v>1.6094379124341003</v>
      </c>
      <c r="M15">
        <f t="shared" si="1"/>
        <v>3.6886294228587269</v>
      </c>
    </row>
    <row r="16" spans="1:13" x14ac:dyDescent="0.2">
      <c r="A16" t="s">
        <v>11</v>
      </c>
      <c r="B16" t="s">
        <v>12</v>
      </c>
      <c r="C16" s="1" t="d">
        <v>2018-07-01</v>
      </c>
      <c r="D16">
        <v>8</v>
      </c>
      <c r="E16">
        <v>39.99</v>
      </c>
      <c r="F16">
        <v>319.92</v>
      </c>
      <c r="G16" s="2" t="s">
        <v>17</v>
      </c>
      <c r="H16" s="2" t="s">
        <v>20</v>
      </c>
      <c r="I16">
        <v>22</v>
      </c>
      <c r="J16">
        <v>9</v>
      </c>
      <c r="K16">
        <v>1</v>
      </c>
      <c r="L16">
        <f t="shared" si="0"/>
        <v>2.0794415416798357</v>
      </c>
      <c r="M16">
        <f t="shared" si="1"/>
        <v>3.6886294228587269</v>
      </c>
    </row>
    <row r="17" spans="1:13" x14ac:dyDescent="0.2">
      <c r="A17" t="s">
        <v>11</v>
      </c>
      <c r="B17" t="s">
        <v>12</v>
      </c>
      <c r="C17" s="1" t="d">
        <v>2018-08-01</v>
      </c>
      <c r="D17">
        <v>8</v>
      </c>
      <c r="E17">
        <v>39.24</v>
      </c>
      <c r="F17">
        <v>313.92</v>
      </c>
      <c r="G17" s="2" t="s">
        <v>17</v>
      </c>
      <c r="H17" s="2" t="s">
        <v>23</v>
      </c>
      <c r="I17">
        <v>23</v>
      </c>
      <c r="J17">
        <v>8</v>
      </c>
      <c r="K17">
        <v>1</v>
      </c>
      <c r="L17">
        <f t="shared" si="0"/>
        <v>2.0794415416798357</v>
      </c>
      <c r="M17">
        <f t="shared" si="1"/>
        <v>3.6696966346971625</v>
      </c>
    </row>
    <row r="18" spans="1:13" x14ac:dyDescent="0.2">
      <c r="A18" t="s">
        <v>24</v>
      </c>
      <c r="B18" t="s">
        <v>25</v>
      </c>
      <c r="C18" s="1" t="d">
        <v>2017-03-01</v>
      </c>
      <c r="D18">
        <v>6</v>
      </c>
      <c r="E18">
        <v>69.900000000000006</v>
      </c>
      <c r="F18" s="2" t="s">
        <v>26</v>
      </c>
      <c r="G18" s="2" t="s">
        <v>27</v>
      </c>
      <c r="H18" s="2" t="s">
        <v>28</v>
      </c>
      <c r="I18">
        <v>23</v>
      </c>
      <c r="J18">
        <v>8</v>
      </c>
      <c r="K18">
        <v>1</v>
      </c>
      <c r="L18">
        <f t="shared" si="0"/>
        <v>1.791759469228055</v>
      </c>
      <c r="M18">
        <f t="shared" si="1"/>
        <v>4.2470656492397643</v>
      </c>
    </row>
    <row r="19" spans="1:13" x14ac:dyDescent="0.2">
      <c r="A19" t="s">
        <v>24</v>
      </c>
      <c r="B19" t="s">
        <v>25</v>
      </c>
      <c r="C19" s="1" t="d">
        <v>2017-04-01</v>
      </c>
      <c r="D19">
        <v>3</v>
      </c>
      <c r="E19">
        <v>82.633333329999999</v>
      </c>
      <c r="F19">
        <v>247.89999999</v>
      </c>
      <c r="G19" s="2" t="s">
        <v>27</v>
      </c>
      <c r="H19" s="2" t="s">
        <v>29</v>
      </c>
      <c r="I19">
        <v>20</v>
      </c>
      <c r="J19">
        <v>10</v>
      </c>
      <c r="K19">
        <v>2</v>
      </c>
      <c r="L19">
        <f t="shared" si="0"/>
        <v>1.0986122886681098</v>
      </c>
      <c r="M19">
        <f t="shared" si="1"/>
        <v>4.4144131503326962</v>
      </c>
    </row>
    <row r="20" spans="1:13" x14ac:dyDescent="0.2">
      <c r="A20" t="s">
        <v>24</v>
      </c>
      <c r="B20" t="s">
        <v>25</v>
      </c>
      <c r="C20" s="1" t="d">
        <v>2017-05-01</v>
      </c>
      <c r="D20">
        <v>20</v>
      </c>
      <c r="E20">
        <v>97.58823529</v>
      </c>
      <c r="F20">
        <v>1951.7647058</v>
      </c>
      <c r="G20" s="2" t="s">
        <v>13</v>
      </c>
      <c r="H20" s="2" t="s">
        <v>30</v>
      </c>
      <c r="I20">
        <v>23</v>
      </c>
      <c r="J20">
        <v>8</v>
      </c>
      <c r="K20">
        <v>1</v>
      </c>
      <c r="L20">
        <f t="shared" si="0"/>
        <v>2.9957322735539909</v>
      </c>
      <c r="M20">
        <f t="shared" si="1"/>
        <v>4.5807569460920341</v>
      </c>
    </row>
    <row r="21" spans="1:13" x14ac:dyDescent="0.2">
      <c r="A21" t="s">
        <v>24</v>
      </c>
      <c r="B21" t="s">
        <v>25</v>
      </c>
      <c r="C21" s="1" t="d">
        <v>2017-06-01</v>
      </c>
      <c r="D21">
        <v>8</v>
      </c>
      <c r="E21">
        <v>89</v>
      </c>
      <c r="F21">
        <v>712</v>
      </c>
      <c r="G21" s="2" t="s">
        <v>13</v>
      </c>
      <c r="H21" s="2" t="s">
        <v>31</v>
      </c>
      <c r="I21">
        <v>22</v>
      </c>
      <c r="J21">
        <v>8</v>
      </c>
      <c r="K21">
        <v>1</v>
      </c>
      <c r="L21">
        <f t="shared" si="0"/>
        <v>2.0794415416798357</v>
      </c>
      <c r="M21">
        <f t="shared" si="1"/>
        <v>4.4886363697321396</v>
      </c>
    </row>
    <row r="22" spans="1:13" x14ac:dyDescent="0.2">
      <c r="A22" t="s">
        <v>24</v>
      </c>
      <c r="B22" t="s">
        <v>25</v>
      </c>
      <c r="C22" s="1" t="d">
        <v>2017-07-01</v>
      </c>
      <c r="D22">
        <v>10</v>
      </c>
      <c r="E22">
        <v>89</v>
      </c>
      <c r="F22">
        <v>890</v>
      </c>
      <c r="G22" s="2" t="s">
        <v>13</v>
      </c>
      <c r="H22" s="2" t="s">
        <v>31</v>
      </c>
      <c r="I22">
        <v>21</v>
      </c>
      <c r="J22">
        <v>10</v>
      </c>
      <c r="K22">
        <v>1</v>
      </c>
      <c r="L22">
        <f t="shared" si="0"/>
        <v>2.3025850929940459</v>
      </c>
      <c r="M22">
        <f t="shared" si="1"/>
        <v>4.4886363697321396</v>
      </c>
    </row>
    <row r="23" spans="1:13" x14ac:dyDescent="0.2">
      <c r="A23" t="s">
        <v>24</v>
      </c>
      <c r="B23" t="s">
        <v>25</v>
      </c>
      <c r="C23" s="1" t="d">
        <v>2017-08-01</v>
      </c>
      <c r="D23">
        <v>7</v>
      </c>
      <c r="E23">
        <v>97.333333330000002</v>
      </c>
      <c r="F23" s="2" t="s">
        <v>32</v>
      </c>
      <c r="G23" s="2" t="s">
        <v>13</v>
      </c>
      <c r="H23" s="2" t="s">
        <v>33</v>
      </c>
      <c r="I23">
        <v>23</v>
      </c>
      <c r="J23">
        <v>8</v>
      </c>
      <c r="K23">
        <v>1</v>
      </c>
      <c r="L23">
        <f t="shared" si="0"/>
        <v>1.9459101490553132</v>
      </c>
      <c r="M23">
        <f t="shared" si="1"/>
        <v>4.5781415135659254</v>
      </c>
    </row>
    <row r="24" spans="1:13" x14ac:dyDescent="0.2">
      <c r="A24" t="s">
        <v>24</v>
      </c>
      <c r="B24" t="s">
        <v>25</v>
      </c>
      <c r="C24" s="1" t="d">
        <v>2017-09-01</v>
      </c>
      <c r="D24">
        <v>9</v>
      </c>
      <c r="E24">
        <v>99</v>
      </c>
      <c r="F24">
        <v>891</v>
      </c>
      <c r="G24" s="2" t="s">
        <v>13</v>
      </c>
      <c r="H24" s="2" t="s">
        <v>34</v>
      </c>
      <c r="I24">
        <v>21</v>
      </c>
      <c r="J24">
        <v>9</v>
      </c>
      <c r="K24">
        <v>1</v>
      </c>
      <c r="L24">
        <f t="shared" si="0"/>
        <v>2.1972245773362196</v>
      </c>
      <c r="M24">
        <f t="shared" si="1"/>
        <v>4.5951198501345898</v>
      </c>
    </row>
    <row r="25" spans="1:13" x14ac:dyDescent="0.2">
      <c r="A25" t="s">
        <v>24</v>
      </c>
      <c r="B25" t="s">
        <v>25</v>
      </c>
      <c r="C25" s="1" t="d">
        <v>2017-10-01</v>
      </c>
      <c r="D25">
        <v>14</v>
      </c>
      <c r="E25">
        <v>99</v>
      </c>
      <c r="F25">
        <v>1386</v>
      </c>
      <c r="G25" s="2" t="s">
        <v>13</v>
      </c>
      <c r="H25" s="2" t="s">
        <v>34</v>
      </c>
      <c r="I25">
        <v>22</v>
      </c>
      <c r="J25">
        <v>9</v>
      </c>
      <c r="K25">
        <v>2</v>
      </c>
      <c r="L25">
        <f t="shared" si="0"/>
        <v>2.6390573296152584</v>
      </c>
      <c r="M25">
        <f t="shared" si="1"/>
        <v>4.5951198501345898</v>
      </c>
    </row>
    <row r="26" spans="1:13" x14ac:dyDescent="0.2">
      <c r="A26" t="s">
        <v>24</v>
      </c>
      <c r="B26" t="s">
        <v>25</v>
      </c>
      <c r="C26" s="1" t="d">
        <v>2017-11-01</v>
      </c>
      <c r="D26">
        <v>17</v>
      </c>
      <c r="E26">
        <v>99</v>
      </c>
      <c r="F26">
        <v>1683</v>
      </c>
      <c r="G26" s="2" t="s">
        <v>13</v>
      </c>
      <c r="H26" s="2" t="s">
        <v>34</v>
      </c>
      <c r="I26">
        <v>22</v>
      </c>
      <c r="J26">
        <v>8</v>
      </c>
      <c r="K26">
        <v>4</v>
      </c>
      <c r="L26">
        <f t="shared" si="0"/>
        <v>2.8332133440562162</v>
      </c>
      <c r="M26">
        <f t="shared" si="1"/>
        <v>4.5951198501345898</v>
      </c>
    </row>
    <row r="27" spans="1:13" x14ac:dyDescent="0.2">
      <c r="A27" t="s">
        <v>24</v>
      </c>
      <c r="B27" t="s">
        <v>25</v>
      </c>
      <c r="C27" s="1" t="d">
        <v>2017-12-01</v>
      </c>
      <c r="D27">
        <v>11</v>
      </c>
      <c r="E27">
        <v>99</v>
      </c>
      <c r="F27">
        <v>1089</v>
      </c>
      <c r="G27" s="2" t="s">
        <v>13</v>
      </c>
      <c r="H27" s="2" t="s">
        <v>34</v>
      </c>
      <c r="I27">
        <v>21</v>
      </c>
      <c r="J27">
        <v>10</v>
      </c>
      <c r="K27">
        <v>1</v>
      </c>
      <c r="L27">
        <f t="shared" si="0"/>
        <v>2.3978952727983707</v>
      </c>
      <c r="M27">
        <f t="shared" si="1"/>
        <v>4.5951198501345898</v>
      </c>
    </row>
    <row r="28" spans="1:13" x14ac:dyDescent="0.2">
      <c r="A28" t="s">
        <v>24</v>
      </c>
      <c r="B28" t="s">
        <v>25</v>
      </c>
      <c r="C28" s="1" t="d">
        <v>2018-01-01</v>
      </c>
      <c r="D28">
        <v>4</v>
      </c>
      <c r="E28">
        <v>99.5</v>
      </c>
      <c r="F28">
        <v>398</v>
      </c>
      <c r="G28" s="2" t="s">
        <v>13</v>
      </c>
      <c r="H28" s="2" t="s">
        <v>35</v>
      </c>
      <c r="I28">
        <v>23</v>
      </c>
      <c r="J28">
        <v>8</v>
      </c>
      <c r="K28">
        <v>2</v>
      </c>
      <c r="L28">
        <f t="shared" si="0"/>
        <v>1.3862943611198906</v>
      </c>
      <c r="M28">
        <f t="shared" si="1"/>
        <v>4.6001576441645469</v>
      </c>
    </row>
    <row r="29" spans="1:13" x14ac:dyDescent="0.2">
      <c r="A29" t="s">
        <v>24</v>
      </c>
      <c r="B29" t="s">
        <v>25</v>
      </c>
      <c r="C29" s="1" t="d">
        <v>2018-02-01</v>
      </c>
      <c r="D29">
        <v>2</v>
      </c>
      <c r="E29">
        <v>101</v>
      </c>
      <c r="F29">
        <v>202</v>
      </c>
      <c r="G29" s="2" t="s">
        <v>13</v>
      </c>
      <c r="H29" s="2" t="s">
        <v>36</v>
      </c>
      <c r="I29">
        <v>20</v>
      </c>
      <c r="J29">
        <v>8</v>
      </c>
      <c r="K29">
        <v>2</v>
      </c>
      <c r="L29">
        <f t="shared" si="0"/>
        <v>0.69314718055994529</v>
      </c>
      <c r="M29">
        <f t="shared" si="1"/>
        <v>4.6151205168412597</v>
      </c>
    </row>
    <row r="30" spans="1:13" x14ac:dyDescent="0.2">
      <c r="A30" t="s">
        <v>24</v>
      </c>
      <c r="B30" t="s">
        <v>25</v>
      </c>
      <c r="C30" s="1" t="d">
        <v>2018-03-01</v>
      </c>
      <c r="D30">
        <v>1</v>
      </c>
      <c r="E30">
        <v>101</v>
      </c>
      <c r="F30">
        <v>101</v>
      </c>
      <c r="G30" s="2" t="s">
        <v>13</v>
      </c>
      <c r="H30" s="2" t="s">
        <v>36</v>
      </c>
      <c r="I30">
        <v>22</v>
      </c>
      <c r="J30">
        <v>9</v>
      </c>
      <c r="K30">
        <v>1</v>
      </c>
      <c r="L30">
        <f t="shared" si="0"/>
        <v>0</v>
      </c>
      <c r="M30">
        <f t="shared" si="1"/>
        <v>4.6151205168412597</v>
      </c>
    </row>
    <row r="31" spans="1:13" x14ac:dyDescent="0.2">
      <c r="A31" t="s">
        <v>24</v>
      </c>
      <c r="B31" t="s">
        <v>25</v>
      </c>
      <c r="C31" s="1" t="d">
        <v>2018-04-01</v>
      </c>
      <c r="D31">
        <v>1</v>
      </c>
      <c r="E31">
        <v>101</v>
      </c>
      <c r="F31">
        <v>101</v>
      </c>
      <c r="G31" s="2" t="s">
        <v>13</v>
      </c>
      <c r="H31" s="2" t="s">
        <v>36</v>
      </c>
      <c r="I31">
        <v>21</v>
      </c>
      <c r="J31">
        <v>9</v>
      </c>
      <c r="K31">
        <v>1</v>
      </c>
      <c r="L31">
        <f t="shared" si="0"/>
        <v>0</v>
      </c>
      <c r="M31">
        <f t="shared" si="1"/>
        <v>4.6151205168412597</v>
      </c>
    </row>
    <row r="32" spans="1:13" x14ac:dyDescent="0.2">
      <c r="A32" t="s">
        <v>37</v>
      </c>
      <c r="B32" t="s">
        <v>38</v>
      </c>
      <c r="C32" s="1" t="d">
        <v>2017-07-01</v>
      </c>
      <c r="D32">
        <v>13</v>
      </c>
      <c r="E32">
        <v>19.899999999999999</v>
      </c>
      <c r="F32">
        <v>258.7</v>
      </c>
      <c r="G32" s="2" t="s">
        <v>39</v>
      </c>
      <c r="H32" s="2" t="s">
        <v>40</v>
      </c>
      <c r="I32">
        <v>21</v>
      </c>
      <c r="J32">
        <v>10</v>
      </c>
      <c r="K32">
        <v>1</v>
      </c>
      <c r="L32">
        <f t="shared" si="0"/>
        <v>2.5649493574615367</v>
      </c>
      <c r="M32">
        <f t="shared" si="1"/>
        <v>2.9907197317304468</v>
      </c>
    </row>
    <row r="33" spans="1:13" x14ac:dyDescent="0.2">
      <c r="A33" t="s">
        <v>37</v>
      </c>
      <c r="B33" t="s">
        <v>38</v>
      </c>
      <c r="C33" s="1" t="d">
        <v>2017-08-01</v>
      </c>
      <c r="D33">
        <v>24</v>
      </c>
      <c r="E33">
        <v>19.899999999999999</v>
      </c>
      <c r="F33" s="2" t="s">
        <v>41</v>
      </c>
      <c r="G33" s="2" t="s">
        <v>39</v>
      </c>
      <c r="H33" s="2" t="s">
        <v>40</v>
      </c>
      <c r="I33">
        <v>23</v>
      </c>
      <c r="J33">
        <v>8</v>
      </c>
      <c r="K33">
        <v>1</v>
      </c>
      <c r="L33">
        <f t="shared" si="0"/>
        <v>3.1780538303479458</v>
      </c>
      <c r="M33">
        <f t="shared" si="1"/>
        <v>2.9907197317304468</v>
      </c>
    </row>
    <row r="34" spans="1:13" x14ac:dyDescent="0.2">
      <c r="A34" t="s">
        <v>37</v>
      </c>
      <c r="B34" t="s">
        <v>38</v>
      </c>
      <c r="C34" s="1" t="d">
        <v>2017-09-01</v>
      </c>
      <c r="D34">
        <v>9</v>
      </c>
      <c r="E34">
        <v>19.899999999999999</v>
      </c>
      <c r="F34">
        <v>179.1</v>
      </c>
      <c r="G34" s="2" t="s">
        <v>39</v>
      </c>
      <c r="H34" s="2" t="s">
        <v>40</v>
      </c>
      <c r="I34">
        <v>21</v>
      </c>
      <c r="J34">
        <v>9</v>
      </c>
      <c r="K34">
        <v>1</v>
      </c>
      <c r="L34">
        <f t="shared" si="0"/>
        <v>2.1972245773362196</v>
      </c>
      <c r="M34">
        <f t="shared" si="1"/>
        <v>2.9907197317304468</v>
      </c>
    </row>
    <row r="35" spans="1:13" x14ac:dyDescent="0.2">
      <c r="A35" t="s">
        <v>37</v>
      </c>
      <c r="B35" t="s">
        <v>38</v>
      </c>
      <c r="C35" s="1" t="d">
        <v>2017-10-01</v>
      </c>
      <c r="D35">
        <v>28</v>
      </c>
      <c r="E35">
        <v>21.542857139999999</v>
      </c>
      <c r="F35">
        <v>603.19999991999998</v>
      </c>
      <c r="G35" s="2" t="s">
        <v>39</v>
      </c>
      <c r="H35" s="2" t="s">
        <v>42</v>
      </c>
      <c r="I35">
        <v>22</v>
      </c>
      <c r="J35">
        <v>9</v>
      </c>
      <c r="K35">
        <v>2</v>
      </c>
      <c r="L35">
        <f t="shared" si="0"/>
        <v>3.3322045101752038</v>
      </c>
      <c r="M35">
        <f t="shared" si="1"/>
        <v>3.0700443063859164</v>
      </c>
    </row>
    <row r="36" spans="1:13" x14ac:dyDescent="0.2">
      <c r="A36" t="s">
        <v>37</v>
      </c>
      <c r="B36" t="s">
        <v>38</v>
      </c>
      <c r="C36" s="1" t="d">
        <v>2017-11-01</v>
      </c>
      <c r="D36">
        <v>28</v>
      </c>
      <c r="E36">
        <v>24.5</v>
      </c>
      <c r="F36">
        <v>686</v>
      </c>
      <c r="G36" s="2" t="s">
        <v>39</v>
      </c>
      <c r="H36" s="2" t="s">
        <v>43</v>
      </c>
      <c r="I36">
        <v>22</v>
      </c>
      <c r="J36">
        <v>8</v>
      </c>
      <c r="K36">
        <v>4</v>
      </c>
      <c r="L36">
        <f t="shared" si="0"/>
        <v>3.3322045101752038</v>
      </c>
      <c r="M36">
        <f t="shared" si="1"/>
        <v>3.1986731175506815</v>
      </c>
    </row>
    <row r="37" spans="1:13" x14ac:dyDescent="0.2">
      <c r="A37" t="s">
        <v>37</v>
      </c>
      <c r="B37" t="s">
        <v>38</v>
      </c>
      <c r="C37" s="1" t="d">
        <v>2017-12-01</v>
      </c>
      <c r="D37">
        <v>16</v>
      </c>
      <c r="E37">
        <v>24.5</v>
      </c>
      <c r="F37">
        <v>392</v>
      </c>
      <c r="G37" s="2" t="s">
        <v>39</v>
      </c>
      <c r="H37" s="2" t="s">
        <v>43</v>
      </c>
      <c r="I37">
        <v>21</v>
      </c>
      <c r="J37">
        <v>10</v>
      </c>
      <c r="K37">
        <v>1</v>
      </c>
      <c r="L37">
        <f t="shared" si="0"/>
        <v>2.7725887222397811</v>
      </c>
      <c r="M37">
        <f t="shared" si="1"/>
        <v>3.1986731175506815</v>
      </c>
    </row>
    <row r="38" spans="1:13" x14ac:dyDescent="0.2">
      <c r="A38" t="s">
        <v>37</v>
      </c>
      <c r="B38" t="s">
        <v>38</v>
      </c>
      <c r="C38" s="1" t="d">
        <v>2018-02-01</v>
      </c>
      <c r="D38">
        <v>5</v>
      </c>
      <c r="E38">
        <v>32.5</v>
      </c>
      <c r="F38">
        <v>162.5</v>
      </c>
      <c r="G38" s="2" t="s">
        <v>39</v>
      </c>
      <c r="H38" s="2" t="s">
        <v>44</v>
      </c>
      <c r="I38">
        <v>20</v>
      </c>
      <c r="J38">
        <v>8</v>
      </c>
      <c r="K38">
        <v>2</v>
      </c>
      <c r="L38">
        <f t="shared" si="0"/>
        <v>1.6094379124341003</v>
      </c>
      <c r="M38">
        <f t="shared" si="1"/>
        <v>3.4812400893356918</v>
      </c>
    </row>
    <row r="39" spans="1:13" x14ac:dyDescent="0.2">
      <c r="A39" t="s">
        <v>37</v>
      </c>
      <c r="B39" t="s">
        <v>38</v>
      </c>
      <c r="C39" s="1" t="d">
        <v>2018-03-01</v>
      </c>
      <c r="D39">
        <v>6</v>
      </c>
      <c r="E39">
        <v>32.5</v>
      </c>
      <c r="F39">
        <v>195</v>
      </c>
      <c r="G39" s="2" t="s">
        <v>39</v>
      </c>
      <c r="H39" s="2" t="s">
        <v>44</v>
      </c>
      <c r="I39">
        <v>22</v>
      </c>
      <c r="J39">
        <v>9</v>
      </c>
      <c r="K39">
        <v>1</v>
      </c>
      <c r="L39">
        <f t="shared" si="0"/>
        <v>1.791759469228055</v>
      </c>
      <c r="M39">
        <f t="shared" si="1"/>
        <v>3.4812400893356918</v>
      </c>
    </row>
    <row r="40" spans="1:13" x14ac:dyDescent="0.2">
      <c r="A40" t="s">
        <v>37</v>
      </c>
      <c r="B40" t="s">
        <v>38</v>
      </c>
      <c r="C40" s="1" t="d">
        <v>2018-04-01</v>
      </c>
      <c r="D40">
        <v>7</v>
      </c>
      <c r="E40">
        <v>35.057142859999999</v>
      </c>
      <c r="F40">
        <v>245.40000001999999</v>
      </c>
      <c r="G40" s="2" t="s">
        <v>39</v>
      </c>
      <c r="H40" s="2" t="s">
        <v>45</v>
      </c>
      <c r="I40">
        <v>21</v>
      </c>
      <c r="J40">
        <v>9</v>
      </c>
      <c r="K40">
        <v>1</v>
      </c>
      <c r="L40">
        <f t="shared" si="0"/>
        <v>1.9459101490553132</v>
      </c>
      <c r="M40">
        <f t="shared" si="1"/>
        <v>3.5569793833029975</v>
      </c>
    </row>
    <row r="41" spans="1:13" x14ac:dyDescent="0.2">
      <c r="A41" t="s">
        <v>37</v>
      </c>
      <c r="B41" t="s">
        <v>38</v>
      </c>
      <c r="C41" s="1" t="d">
        <v>2018-05-01</v>
      </c>
      <c r="D41">
        <v>3</v>
      </c>
      <c r="E41">
        <v>36.200000000000003</v>
      </c>
      <c r="F41" s="2" t="s">
        <v>46</v>
      </c>
      <c r="G41" s="2" t="s">
        <v>47</v>
      </c>
      <c r="H41" s="2" t="s">
        <v>48</v>
      </c>
      <c r="I41">
        <v>23</v>
      </c>
      <c r="J41">
        <v>8</v>
      </c>
      <c r="K41">
        <v>3</v>
      </c>
      <c r="L41">
        <f t="shared" si="0"/>
        <v>1.0986122886681098</v>
      </c>
      <c r="M41">
        <f t="shared" si="1"/>
        <v>3.5890591188317256</v>
      </c>
    </row>
    <row r="42" spans="1:13" x14ac:dyDescent="0.2">
      <c r="A42" t="s">
        <v>37</v>
      </c>
      <c r="B42" t="s">
        <v>38</v>
      </c>
      <c r="C42" s="1" t="d">
        <v>2018-06-01</v>
      </c>
      <c r="D42">
        <v>2</v>
      </c>
      <c r="E42">
        <v>36.200000000000003</v>
      </c>
      <c r="F42">
        <v>72.400000000000006</v>
      </c>
      <c r="G42" s="2" t="s">
        <v>47</v>
      </c>
      <c r="H42" s="2" t="s">
        <v>48</v>
      </c>
      <c r="I42">
        <v>21</v>
      </c>
      <c r="J42">
        <v>9</v>
      </c>
      <c r="K42">
        <v>0</v>
      </c>
      <c r="L42">
        <f t="shared" si="0"/>
        <v>0.69314718055994529</v>
      </c>
      <c r="M42">
        <f t="shared" si="1"/>
        <v>3.5890591188317256</v>
      </c>
    </row>
    <row r="43" spans="1:13" x14ac:dyDescent="0.2">
      <c r="A43" t="s">
        <v>37</v>
      </c>
      <c r="B43" t="s">
        <v>38</v>
      </c>
      <c r="C43" s="1" t="d">
        <v>2018-07-01</v>
      </c>
      <c r="D43">
        <v>1</v>
      </c>
      <c r="E43">
        <v>36.200000000000003</v>
      </c>
      <c r="F43">
        <v>36.200000000000003</v>
      </c>
      <c r="G43" s="2" t="s">
        <v>47</v>
      </c>
      <c r="H43" s="2" t="s">
        <v>48</v>
      </c>
      <c r="I43">
        <v>22</v>
      </c>
      <c r="J43">
        <v>9</v>
      </c>
      <c r="K43">
        <v>1</v>
      </c>
      <c r="L43">
        <f t="shared" si="0"/>
        <v>0</v>
      </c>
      <c r="M43">
        <f t="shared" si="1"/>
        <v>3.5890591188317256</v>
      </c>
    </row>
    <row r="44" spans="1:13" x14ac:dyDescent="0.2">
      <c r="A44" t="s">
        <v>49</v>
      </c>
      <c r="B44" t="s">
        <v>25</v>
      </c>
      <c r="C44" s="1" t="d">
        <v>2017-04-01</v>
      </c>
      <c r="D44">
        <v>1</v>
      </c>
      <c r="E44">
        <v>59.9</v>
      </c>
      <c r="F44">
        <v>59.9</v>
      </c>
      <c r="G44" s="2" t="s">
        <v>47</v>
      </c>
      <c r="H44" s="2" t="s">
        <v>50</v>
      </c>
      <c r="I44">
        <v>20</v>
      </c>
      <c r="J44">
        <v>10</v>
      </c>
      <c r="K44">
        <v>2</v>
      </c>
      <c r="L44">
        <f t="shared" si="0"/>
        <v>0</v>
      </c>
      <c r="M44">
        <f t="shared" si="1"/>
        <v>4.0926765051214034</v>
      </c>
    </row>
    <row r="45" spans="1:13" x14ac:dyDescent="0.2">
      <c r="A45" t="s">
        <v>49</v>
      </c>
      <c r="B45" t="s">
        <v>25</v>
      </c>
      <c r="C45" s="1" t="d">
        <v>2017-05-01</v>
      </c>
      <c r="D45">
        <v>1</v>
      </c>
      <c r="E45">
        <v>59.9</v>
      </c>
      <c r="F45">
        <v>59.9</v>
      </c>
      <c r="G45" s="2" t="s">
        <v>13</v>
      </c>
      <c r="H45" s="2" t="s">
        <v>51</v>
      </c>
      <c r="I45">
        <v>23</v>
      </c>
      <c r="J45">
        <v>8</v>
      </c>
      <c r="K45">
        <v>1</v>
      </c>
      <c r="L45">
        <f t="shared" si="0"/>
        <v>0</v>
      </c>
      <c r="M45">
        <f t="shared" si="1"/>
        <v>4.0926765051214034</v>
      </c>
    </row>
    <row r="46" spans="1:13" x14ac:dyDescent="0.2">
      <c r="A46" t="s">
        <v>49</v>
      </c>
      <c r="B46" t="s">
        <v>25</v>
      </c>
      <c r="C46" s="1" t="d">
        <v>2017-07-01</v>
      </c>
      <c r="D46">
        <v>4</v>
      </c>
      <c r="E46">
        <v>59.9</v>
      </c>
      <c r="F46">
        <v>239.6</v>
      </c>
      <c r="G46" s="2" t="s">
        <v>13</v>
      </c>
      <c r="H46" s="2" t="s">
        <v>51</v>
      </c>
      <c r="I46">
        <v>21</v>
      </c>
      <c r="J46">
        <v>10</v>
      </c>
      <c r="K46">
        <v>1</v>
      </c>
      <c r="L46">
        <f t="shared" si="0"/>
        <v>1.3862943611198906</v>
      </c>
      <c r="M46">
        <f t="shared" si="1"/>
        <v>4.0926765051214034</v>
      </c>
    </row>
    <row r="47" spans="1:13" x14ac:dyDescent="0.2">
      <c r="A47" t="s">
        <v>49</v>
      </c>
      <c r="B47" t="s">
        <v>25</v>
      </c>
      <c r="C47" s="1" t="d">
        <v>2017-08-01</v>
      </c>
      <c r="D47">
        <v>6</v>
      </c>
      <c r="E47">
        <v>59.9</v>
      </c>
      <c r="F47">
        <v>359.4</v>
      </c>
      <c r="G47" s="2" t="s">
        <v>13</v>
      </c>
      <c r="H47" s="2" t="s">
        <v>51</v>
      </c>
      <c r="I47">
        <v>23</v>
      </c>
      <c r="J47">
        <v>8</v>
      </c>
      <c r="K47">
        <v>1</v>
      </c>
      <c r="L47">
        <f t="shared" si="0"/>
        <v>1.791759469228055</v>
      </c>
      <c r="M47">
        <f t="shared" si="1"/>
        <v>4.0926765051214034</v>
      </c>
    </row>
    <row r="48" spans="1:13" x14ac:dyDescent="0.2">
      <c r="A48" t="s">
        <v>49</v>
      </c>
      <c r="B48" t="s">
        <v>25</v>
      </c>
      <c r="C48" s="1" t="d">
        <v>2017-09-01</v>
      </c>
      <c r="D48">
        <v>5</v>
      </c>
      <c r="E48">
        <v>59.9</v>
      </c>
      <c r="F48">
        <v>299.5</v>
      </c>
      <c r="G48" s="2" t="s">
        <v>13</v>
      </c>
      <c r="H48" s="2" t="s">
        <v>51</v>
      </c>
      <c r="I48">
        <v>21</v>
      </c>
      <c r="J48">
        <v>9</v>
      </c>
      <c r="K48">
        <v>1</v>
      </c>
      <c r="L48">
        <f t="shared" si="0"/>
        <v>1.6094379124341003</v>
      </c>
      <c r="M48">
        <f t="shared" si="1"/>
        <v>4.0926765051214034</v>
      </c>
    </row>
    <row r="49" spans="1:13" x14ac:dyDescent="0.2">
      <c r="A49" t="s">
        <v>49</v>
      </c>
      <c r="B49" t="s">
        <v>25</v>
      </c>
      <c r="C49" s="1" t="d">
        <v>2017-10-01</v>
      </c>
      <c r="D49">
        <v>11</v>
      </c>
      <c r="E49">
        <v>59.9</v>
      </c>
      <c r="F49">
        <v>658.9</v>
      </c>
      <c r="G49" s="2" t="s">
        <v>13</v>
      </c>
      <c r="H49" s="2" t="s">
        <v>51</v>
      </c>
      <c r="I49">
        <v>22</v>
      </c>
      <c r="J49">
        <v>9</v>
      </c>
      <c r="K49">
        <v>2</v>
      </c>
      <c r="L49">
        <f t="shared" si="0"/>
        <v>2.3978952727983707</v>
      </c>
      <c r="M49">
        <f t="shared" si="1"/>
        <v>4.0926765051214034</v>
      </c>
    </row>
    <row r="50" spans="1:13" x14ac:dyDescent="0.2">
      <c r="A50" t="s">
        <v>49</v>
      </c>
      <c r="B50" t="s">
        <v>25</v>
      </c>
      <c r="C50" s="1" t="d">
        <v>2017-11-01</v>
      </c>
      <c r="D50">
        <v>20</v>
      </c>
      <c r="E50">
        <v>51.32222222</v>
      </c>
      <c r="F50">
        <v>1026.4444444000001</v>
      </c>
      <c r="G50" s="2" t="s">
        <v>13</v>
      </c>
      <c r="H50" s="2" t="s">
        <v>52</v>
      </c>
      <c r="I50">
        <v>22</v>
      </c>
      <c r="J50">
        <v>8</v>
      </c>
      <c r="K50">
        <v>4</v>
      </c>
      <c r="L50">
        <f t="shared" si="0"/>
        <v>2.9957322735539909</v>
      </c>
      <c r="M50">
        <f t="shared" si="1"/>
        <v>3.9381238400570409</v>
      </c>
    </row>
    <row r="51" spans="1:13" x14ac:dyDescent="0.2">
      <c r="A51" t="s">
        <v>49</v>
      </c>
      <c r="B51" t="s">
        <v>25</v>
      </c>
      <c r="C51" s="1" t="d">
        <v>2017-12-01</v>
      </c>
      <c r="D51">
        <v>10</v>
      </c>
      <c r="E51">
        <v>56.977777779999997</v>
      </c>
      <c r="F51">
        <v>569.77777779999997</v>
      </c>
      <c r="G51" s="2" t="s">
        <v>13</v>
      </c>
      <c r="H51" s="2" t="s">
        <v>53</v>
      </c>
      <c r="I51">
        <v>21</v>
      </c>
      <c r="J51">
        <v>10</v>
      </c>
      <c r="K51">
        <v>1</v>
      </c>
      <c r="L51">
        <f t="shared" si="0"/>
        <v>2.3025850929940459</v>
      </c>
      <c r="M51">
        <f t="shared" si="1"/>
        <v>4.0426613283092427</v>
      </c>
    </row>
    <row r="52" spans="1:13" x14ac:dyDescent="0.2">
      <c r="A52" t="s">
        <v>49</v>
      </c>
      <c r="B52" t="s">
        <v>25</v>
      </c>
      <c r="C52" s="1" t="d">
        <v>2018-01-01</v>
      </c>
      <c r="D52">
        <v>11</v>
      </c>
      <c r="E52">
        <v>49.9</v>
      </c>
      <c r="F52">
        <v>548.9</v>
      </c>
      <c r="G52" s="2" t="s">
        <v>13</v>
      </c>
      <c r="H52" s="2" t="s">
        <v>54</v>
      </c>
      <c r="I52">
        <v>23</v>
      </c>
      <c r="J52">
        <v>8</v>
      </c>
      <c r="K52">
        <v>2</v>
      </c>
      <c r="L52">
        <f t="shared" si="0"/>
        <v>2.3978952727983707</v>
      </c>
      <c r="M52">
        <f t="shared" si="1"/>
        <v>3.9100210027574729</v>
      </c>
    </row>
    <row r="53" spans="1:13" x14ac:dyDescent="0.2">
      <c r="A53" t="s">
        <v>49</v>
      </c>
      <c r="B53" t="s">
        <v>25</v>
      </c>
      <c r="C53" s="1" t="d">
        <v>2018-02-01</v>
      </c>
      <c r="D53">
        <v>8</v>
      </c>
      <c r="E53">
        <v>51.4</v>
      </c>
      <c r="F53">
        <v>411.2</v>
      </c>
      <c r="G53" s="2" t="s">
        <v>13</v>
      </c>
      <c r="H53" s="2" t="s">
        <v>55</v>
      </c>
      <c r="I53">
        <v>20</v>
      </c>
      <c r="J53">
        <v>8</v>
      </c>
      <c r="K53">
        <v>2</v>
      </c>
      <c r="L53">
        <f t="shared" si="0"/>
        <v>2.0794415416798357</v>
      </c>
      <c r="M53">
        <f t="shared" si="1"/>
        <v>3.9396381724611196</v>
      </c>
    </row>
    <row r="54" spans="1:13" x14ac:dyDescent="0.2">
      <c r="A54" t="s">
        <v>49</v>
      </c>
      <c r="B54" t="s">
        <v>25</v>
      </c>
      <c r="C54" s="1" t="d">
        <v>2018-03-01</v>
      </c>
      <c r="D54">
        <v>3</v>
      </c>
      <c r="E54">
        <v>53.9</v>
      </c>
      <c r="F54">
        <v>161.69999999999999</v>
      </c>
      <c r="G54" s="2" t="s">
        <v>13</v>
      </c>
      <c r="H54" s="2" t="s">
        <v>56</v>
      </c>
      <c r="I54">
        <v>22</v>
      </c>
      <c r="J54">
        <v>9</v>
      </c>
      <c r="K54">
        <v>1</v>
      </c>
      <c r="L54">
        <f t="shared" si="0"/>
        <v>1.0986122886681098</v>
      </c>
      <c r="M54">
        <f t="shared" si="1"/>
        <v>3.9871304779149512</v>
      </c>
    </row>
    <row r="55" spans="1:13" x14ac:dyDescent="0.2">
      <c r="A55" t="s">
        <v>49</v>
      </c>
      <c r="B55" t="s">
        <v>25</v>
      </c>
      <c r="C55" s="1" t="d">
        <v>2018-04-01</v>
      </c>
      <c r="D55">
        <v>8</v>
      </c>
      <c r="E55">
        <v>53.9</v>
      </c>
      <c r="F55">
        <v>431.2</v>
      </c>
      <c r="G55" s="2" t="s">
        <v>13</v>
      </c>
      <c r="H55" s="2" t="s">
        <v>56</v>
      </c>
      <c r="I55">
        <v>21</v>
      </c>
      <c r="J55">
        <v>9</v>
      </c>
      <c r="K55">
        <v>1</v>
      </c>
      <c r="L55">
        <f t="shared" si="0"/>
        <v>2.0794415416798357</v>
      </c>
      <c r="M55">
        <f t="shared" si="1"/>
        <v>3.9871304779149512</v>
      </c>
    </row>
    <row r="56" spans="1:13" x14ac:dyDescent="0.2">
      <c r="A56" t="s">
        <v>49</v>
      </c>
      <c r="B56" t="s">
        <v>25</v>
      </c>
      <c r="C56" s="1" t="d">
        <v>2018-05-01</v>
      </c>
      <c r="D56">
        <v>9</v>
      </c>
      <c r="E56">
        <v>52.9</v>
      </c>
      <c r="F56" s="2" t="s">
        <v>57</v>
      </c>
      <c r="G56" s="2" t="s">
        <v>13</v>
      </c>
      <c r="H56" s="2" t="s">
        <v>58</v>
      </c>
      <c r="I56">
        <v>23</v>
      </c>
      <c r="J56">
        <v>8</v>
      </c>
      <c r="K56">
        <v>3</v>
      </c>
      <c r="L56">
        <f t="shared" si="0"/>
        <v>2.1972245773362196</v>
      </c>
      <c r="M56">
        <f t="shared" si="1"/>
        <v>3.9684033388642534</v>
      </c>
    </row>
    <row r="57" spans="1:13" x14ac:dyDescent="0.2">
      <c r="A57" t="s">
        <v>49</v>
      </c>
      <c r="B57" t="s">
        <v>25</v>
      </c>
      <c r="C57" s="1" t="d">
        <v>2018-06-01</v>
      </c>
      <c r="D57">
        <v>5</v>
      </c>
      <c r="E57">
        <v>49.9</v>
      </c>
      <c r="F57">
        <v>249.5</v>
      </c>
      <c r="G57" s="2" t="s">
        <v>13</v>
      </c>
      <c r="H57" s="2" t="s">
        <v>54</v>
      </c>
      <c r="I57">
        <v>21</v>
      </c>
      <c r="J57">
        <v>9</v>
      </c>
      <c r="K57">
        <v>0</v>
      </c>
      <c r="L57">
        <f t="shared" si="0"/>
        <v>1.6094379124341003</v>
      </c>
      <c r="M57">
        <f t="shared" si="1"/>
        <v>3.9100210027574729</v>
      </c>
    </row>
    <row r="58" spans="1:13" x14ac:dyDescent="0.2">
      <c r="A58" t="s">
        <v>49</v>
      </c>
      <c r="B58" t="s">
        <v>25</v>
      </c>
      <c r="C58" s="1" t="d">
        <v>2018-07-01</v>
      </c>
      <c r="D58">
        <v>6</v>
      </c>
      <c r="E58">
        <v>49.9</v>
      </c>
      <c r="F58">
        <v>299.39999999999998</v>
      </c>
      <c r="G58" s="2" t="s">
        <v>13</v>
      </c>
      <c r="H58" s="2" t="s">
        <v>54</v>
      </c>
      <c r="I58">
        <v>22</v>
      </c>
      <c r="J58">
        <v>9</v>
      </c>
      <c r="K58">
        <v>1</v>
      </c>
      <c r="L58">
        <f t="shared" si="0"/>
        <v>1.791759469228055</v>
      </c>
      <c r="M58">
        <f t="shared" si="1"/>
        <v>3.9100210027574729</v>
      </c>
    </row>
    <row r="59" spans="1:13" x14ac:dyDescent="0.2">
      <c r="A59" t="s">
        <v>49</v>
      </c>
      <c r="B59" t="s">
        <v>25</v>
      </c>
      <c r="C59" s="1" t="d">
        <v>2018-08-01</v>
      </c>
      <c r="D59">
        <v>7</v>
      </c>
      <c r="E59">
        <v>49.9</v>
      </c>
      <c r="F59">
        <v>349.3</v>
      </c>
      <c r="G59" s="2" t="s">
        <v>13</v>
      </c>
      <c r="H59" s="2" t="s">
        <v>54</v>
      </c>
      <c r="I59">
        <v>23</v>
      </c>
      <c r="J59">
        <v>8</v>
      </c>
      <c r="K59">
        <v>1</v>
      </c>
      <c r="L59">
        <f t="shared" si="0"/>
        <v>1.9459101490553132</v>
      </c>
      <c r="M59">
        <f t="shared" si="1"/>
        <v>3.9100210027574729</v>
      </c>
    </row>
    <row r="60" spans="1:13" x14ac:dyDescent="0.2">
      <c r="A60" t="s">
        <v>59</v>
      </c>
      <c r="B60" t="s">
        <v>60</v>
      </c>
      <c r="C60" s="1" t="d">
        <v>2017-02-01</v>
      </c>
      <c r="D60">
        <v>11</v>
      </c>
      <c r="E60">
        <v>19.989999999999998</v>
      </c>
      <c r="F60">
        <v>219.89</v>
      </c>
      <c r="G60">
        <v>4.2</v>
      </c>
      <c r="H60" s="2" t="s">
        <v>61</v>
      </c>
      <c r="I60">
        <v>20</v>
      </c>
      <c r="J60">
        <v>8</v>
      </c>
      <c r="K60">
        <v>2</v>
      </c>
      <c r="L60">
        <f t="shared" si="0"/>
        <v>2.3978952727983707</v>
      </c>
      <c r="M60">
        <f t="shared" si="1"/>
        <v>2.9952321485123088</v>
      </c>
    </row>
    <row r="61" spans="1:13" x14ac:dyDescent="0.2">
      <c r="A61" t="s">
        <v>59</v>
      </c>
      <c r="B61" t="s">
        <v>60</v>
      </c>
      <c r="C61" s="1" t="d">
        <v>2017-03-01</v>
      </c>
      <c r="D61">
        <v>9</v>
      </c>
      <c r="E61">
        <v>19.989999999999998</v>
      </c>
      <c r="F61">
        <v>179.91</v>
      </c>
      <c r="G61" s="2" t="s">
        <v>62</v>
      </c>
      <c r="H61" s="2" t="s">
        <v>63</v>
      </c>
      <c r="I61">
        <v>23</v>
      </c>
      <c r="J61">
        <v>8</v>
      </c>
      <c r="K61">
        <v>1</v>
      </c>
      <c r="L61">
        <f t="shared" si="0"/>
        <v>2.1972245773362196</v>
      </c>
      <c r="M61">
        <f t="shared" si="1"/>
        <v>2.9952321485123088</v>
      </c>
    </row>
    <row r="62" spans="1:13" x14ac:dyDescent="0.2">
      <c r="A62" t="s">
        <v>59</v>
      </c>
      <c r="B62" t="s">
        <v>60</v>
      </c>
      <c r="C62" s="1" t="d">
        <v>2017-04-01</v>
      </c>
      <c r="D62">
        <v>13</v>
      </c>
      <c r="E62">
        <v>19.989999999999998</v>
      </c>
      <c r="F62">
        <v>259.87</v>
      </c>
      <c r="G62">
        <v>4.2</v>
      </c>
      <c r="H62" s="2" t="s">
        <v>61</v>
      </c>
      <c r="I62">
        <v>20</v>
      </c>
      <c r="J62">
        <v>10</v>
      </c>
      <c r="K62">
        <v>2</v>
      </c>
      <c r="L62">
        <f t="shared" si="0"/>
        <v>2.5649493574615367</v>
      </c>
      <c r="M62">
        <f t="shared" si="1"/>
        <v>2.9952321485123088</v>
      </c>
    </row>
    <row r="63" spans="1:13" x14ac:dyDescent="0.2">
      <c r="A63" t="s">
        <v>59</v>
      </c>
      <c r="B63" t="s">
        <v>60</v>
      </c>
      <c r="C63" s="1" t="d">
        <v>2017-05-01</v>
      </c>
      <c r="D63">
        <v>16</v>
      </c>
      <c r="E63">
        <v>19.989999999999998</v>
      </c>
      <c r="F63">
        <v>319.83999999999997</v>
      </c>
      <c r="G63" s="2" t="s">
        <v>62</v>
      </c>
      <c r="H63" s="2" t="s">
        <v>63</v>
      </c>
      <c r="I63">
        <v>23</v>
      </c>
      <c r="J63">
        <v>8</v>
      </c>
      <c r="K63">
        <v>1</v>
      </c>
      <c r="L63">
        <f t="shared" si="0"/>
        <v>2.7725887222397811</v>
      </c>
      <c r="M63">
        <f t="shared" si="1"/>
        <v>2.9952321485123088</v>
      </c>
    </row>
    <row r="64" spans="1:13" x14ac:dyDescent="0.2">
      <c r="A64" t="s">
        <v>59</v>
      </c>
      <c r="B64" t="s">
        <v>60</v>
      </c>
      <c r="C64" s="1" t="d">
        <v>2017-06-01</v>
      </c>
      <c r="D64">
        <v>21</v>
      </c>
      <c r="E64">
        <v>19.989999999999998</v>
      </c>
      <c r="F64" s="2" t="s">
        <v>64</v>
      </c>
      <c r="G64" s="2" t="s">
        <v>62</v>
      </c>
      <c r="H64" s="2" t="s">
        <v>63</v>
      </c>
      <c r="I64">
        <v>22</v>
      </c>
      <c r="J64">
        <v>8</v>
      </c>
      <c r="K64">
        <v>1</v>
      </c>
      <c r="L64">
        <f t="shared" si="0"/>
        <v>3.044522437723423</v>
      </c>
      <c r="M64">
        <f t="shared" si="1"/>
        <v>2.9952321485123088</v>
      </c>
    </row>
    <row r="65" spans="1:13" x14ac:dyDescent="0.2">
      <c r="A65" t="s">
        <v>59</v>
      </c>
      <c r="B65" t="s">
        <v>60</v>
      </c>
      <c r="C65" s="1" t="d">
        <v>2017-07-01</v>
      </c>
      <c r="D65">
        <v>29</v>
      </c>
      <c r="E65">
        <v>19.989999999999998</v>
      </c>
      <c r="F65" s="2" t="s">
        <v>65</v>
      </c>
      <c r="G65" s="2" t="s">
        <v>62</v>
      </c>
      <c r="H65" s="2" t="s">
        <v>63</v>
      </c>
      <c r="I65">
        <v>21</v>
      </c>
      <c r="J65">
        <v>10</v>
      </c>
      <c r="K65">
        <v>1</v>
      </c>
      <c r="L65">
        <f t="shared" si="0"/>
        <v>3.3672958299864741</v>
      </c>
      <c r="M65">
        <f t="shared" si="1"/>
        <v>2.9952321485123088</v>
      </c>
    </row>
    <row r="66" spans="1:13" x14ac:dyDescent="0.2">
      <c r="A66" t="s">
        <v>59</v>
      </c>
      <c r="B66" t="s">
        <v>60</v>
      </c>
      <c r="C66" s="1" t="d">
        <v>2017-08-01</v>
      </c>
      <c r="D66">
        <v>28</v>
      </c>
      <c r="E66">
        <v>23.39740741</v>
      </c>
      <c r="F66">
        <v>655.12740747999999</v>
      </c>
      <c r="G66" s="2" t="s">
        <v>62</v>
      </c>
      <c r="H66" s="2" t="s">
        <v>66</v>
      </c>
      <c r="I66">
        <v>23</v>
      </c>
      <c r="J66">
        <v>8</v>
      </c>
      <c r="K66">
        <v>1</v>
      </c>
      <c r="L66">
        <f t="shared" si="0"/>
        <v>3.3322045101752038</v>
      </c>
      <c r="M66">
        <f t="shared" si="1"/>
        <v>3.1526252217810535</v>
      </c>
    </row>
    <row r="67" spans="1:13" x14ac:dyDescent="0.2">
      <c r="A67" t="s">
        <v>59</v>
      </c>
      <c r="B67" t="s">
        <v>60</v>
      </c>
      <c r="C67" s="1" t="d">
        <v>2017-09-01</v>
      </c>
      <c r="D67">
        <v>24</v>
      </c>
      <c r="E67">
        <v>23.99</v>
      </c>
      <c r="F67">
        <v>575.76</v>
      </c>
      <c r="G67" s="2" t="s">
        <v>62</v>
      </c>
      <c r="H67" s="2" t="s">
        <v>67</v>
      </c>
      <c r="I67">
        <v>21</v>
      </c>
      <c r="J67">
        <v>9</v>
      </c>
      <c r="K67">
        <v>1</v>
      </c>
      <c r="L67">
        <f t="shared" ref="L67:L130" si="2">IF(D67&gt;0, LN(D67), "")</f>
        <v>3.1780538303479458</v>
      </c>
      <c r="M67">
        <f t="shared" ref="M67:M130" si="3">LN(E67)</f>
        <v>3.1776370768516031</v>
      </c>
    </row>
    <row r="68" spans="1:13" x14ac:dyDescent="0.2">
      <c r="A68" t="s">
        <v>59</v>
      </c>
      <c r="B68" t="s">
        <v>60</v>
      </c>
      <c r="C68" s="1" t="d">
        <v>2017-10-01</v>
      </c>
      <c r="D68">
        <v>27</v>
      </c>
      <c r="E68">
        <v>23.99</v>
      </c>
      <c r="F68" s="2" t="s">
        <v>68</v>
      </c>
      <c r="G68" s="2" t="s">
        <v>62</v>
      </c>
      <c r="H68" s="2" t="s">
        <v>67</v>
      </c>
      <c r="I68">
        <v>22</v>
      </c>
      <c r="J68">
        <v>9</v>
      </c>
      <c r="K68">
        <v>2</v>
      </c>
      <c r="L68">
        <f t="shared" si="2"/>
        <v>3.2958368660043291</v>
      </c>
      <c r="M68">
        <f t="shared" si="3"/>
        <v>3.1776370768516031</v>
      </c>
    </row>
    <row r="69" spans="1:13" x14ac:dyDescent="0.2">
      <c r="A69" t="s">
        <v>59</v>
      </c>
      <c r="B69" t="s">
        <v>60</v>
      </c>
      <c r="C69" s="1" t="d">
        <v>2017-11-01</v>
      </c>
      <c r="D69">
        <v>28</v>
      </c>
      <c r="E69">
        <v>23.99</v>
      </c>
      <c r="F69" s="2" t="s">
        <v>69</v>
      </c>
      <c r="G69" s="2" t="s">
        <v>62</v>
      </c>
      <c r="H69" s="2" t="s">
        <v>67</v>
      </c>
      <c r="I69">
        <v>22</v>
      </c>
      <c r="J69">
        <v>8</v>
      </c>
      <c r="K69">
        <v>4</v>
      </c>
      <c r="L69">
        <f t="shared" si="2"/>
        <v>3.3322045101752038</v>
      </c>
      <c r="M69">
        <f t="shared" si="3"/>
        <v>3.1776370768516031</v>
      </c>
    </row>
    <row r="70" spans="1:13" x14ac:dyDescent="0.2">
      <c r="A70" t="s">
        <v>59</v>
      </c>
      <c r="B70" t="s">
        <v>60</v>
      </c>
      <c r="C70" s="1" t="d">
        <v>2017-12-01</v>
      </c>
      <c r="D70">
        <v>19</v>
      </c>
      <c r="E70">
        <v>23.99</v>
      </c>
      <c r="F70" s="2" t="s">
        <v>70</v>
      </c>
      <c r="G70" s="2" t="s">
        <v>62</v>
      </c>
      <c r="H70" s="2" t="s">
        <v>67</v>
      </c>
      <c r="I70">
        <v>21</v>
      </c>
      <c r="J70">
        <v>10</v>
      </c>
      <c r="K70">
        <v>1</v>
      </c>
      <c r="L70">
        <f t="shared" si="2"/>
        <v>2.9444389791664403</v>
      </c>
      <c r="M70">
        <f t="shared" si="3"/>
        <v>3.1776370768516031</v>
      </c>
    </row>
    <row r="71" spans="1:13" x14ac:dyDescent="0.2">
      <c r="A71" t="s">
        <v>59</v>
      </c>
      <c r="B71" t="s">
        <v>60</v>
      </c>
      <c r="C71" s="1" t="d">
        <v>2018-01-01</v>
      </c>
      <c r="D71">
        <v>19</v>
      </c>
      <c r="E71">
        <v>23.99</v>
      </c>
      <c r="F71" s="2" t="s">
        <v>70</v>
      </c>
      <c r="G71" s="2" t="s">
        <v>62</v>
      </c>
      <c r="H71" s="2" t="s">
        <v>67</v>
      </c>
      <c r="I71">
        <v>23</v>
      </c>
      <c r="J71">
        <v>8</v>
      </c>
      <c r="K71">
        <v>2</v>
      </c>
      <c r="L71">
        <f t="shared" si="2"/>
        <v>2.9444389791664403</v>
      </c>
      <c r="M71">
        <f t="shared" si="3"/>
        <v>3.1776370768516031</v>
      </c>
    </row>
    <row r="72" spans="1:13" x14ac:dyDescent="0.2">
      <c r="A72" t="s">
        <v>59</v>
      </c>
      <c r="B72" t="s">
        <v>60</v>
      </c>
      <c r="C72" s="1" t="d">
        <v>2018-02-01</v>
      </c>
      <c r="D72">
        <v>14</v>
      </c>
      <c r="E72">
        <v>23.99</v>
      </c>
      <c r="F72" s="2" t="s">
        <v>71</v>
      </c>
      <c r="G72" s="2" t="s">
        <v>62</v>
      </c>
      <c r="H72" s="2" t="s">
        <v>67</v>
      </c>
      <c r="I72">
        <v>20</v>
      </c>
      <c r="J72">
        <v>8</v>
      </c>
      <c r="K72">
        <v>2</v>
      </c>
      <c r="L72">
        <f t="shared" si="2"/>
        <v>2.6390573296152584</v>
      </c>
      <c r="M72">
        <f t="shared" si="3"/>
        <v>3.1776370768516031</v>
      </c>
    </row>
    <row r="73" spans="1:13" x14ac:dyDescent="0.2">
      <c r="A73" t="s">
        <v>59</v>
      </c>
      <c r="B73" t="s">
        <v>60</v>
      </c>
      <c r="C73" s="1" t="d">
        <v>2018-03-01</v>
      </c>
      <c r="D73">
        <v>8</v>
      </c>
      <c r="E73">
        <v>23.99</v>
      </c>
      <c r="F73">
        <v>191.92</v>
      </c>
      <c r="G73" s="2" t="s">
        <v>62</v>
      </c>
      <c r="H73" s="2" t="s">
        <v>67</v>
      </c>
      <c r="I73">
        <v>22</v>
      </c>
      <c r="J73">
        <v>9</v>
      </c>
      <c r="K73">
        <v>1</v>
      </c>
      <c r="L73">
        <f t="shared" si="2"/>
        <v>2.0794415416798357</v>
      </c>
      <c r="M73">
        <f t="shared" si="3"/>
        <v>3.1776370768516031</v>
      </c>
    </row>
    <row r="74" spans="1:13" x14ac:dyDescent="0.2">
      <c r="A74" t="s">
        <v>59</v>
      </c>
      <c r="B74" t="s">
        <v>60</v>
      </c>
      <c r="C74" s="1" t="d">
        <v>2018-05-01</v>
      </c>
      <c r="D74">
        <v>7</v>
      </c>
      <c r="E74">
        <v>23.99</v>
      </c>
      <c r="F74" s="2" t="s">
        <v>72</v>
      </c>
      <c r="G74" s="2" t="s">
        <v>62</v>
      </c>
      <c r="H74" s="2" t="s">
        <v>67</v>
      </c>
      <c r="I74">
        <v>23</v>
      </c>
      <c r="J74">
        <v>8</v>
      </c>
      <c r="K74">
        <v>3</v>
      </c>
      <c r="L74">
        <f t="shared" si="2"/>
        <v>1.9459101490553132</v>
      </c>
      <c r="M74">
        <f t="shared" si="3"/>
        <v>3.1776370768516031</v>
      </c>
    </row>
    <row r="75" spans="1:13" x14ac:dyDescent="0.2">
      <c r="A75" t="s">
        <v>59</v>
      </c>
      <c r="B75" t="s">
        <v>60</v>
      </c>
      <c r="C75" s="1" t="d">
        <v>2018-06-01</v>
      </c>
      <c r="D75">
        <v>3</v>
      </c>
      <c r="E75">
        <v>23.99</v>
      </c>
      <c r="F75">
        <v>71.97</v>
      </c>
      <c r="G75" s="2" t="s">
        <v>62</v>
      </c>
      <c r="H75" s="2" t="s">
        <v>67</v>
      </c>
      <c r="I75">
        <v>21</v>
      </c>
      <c r="J75">
        <v>9</v>
      </c>
      <c r="K75">
        <v>0</v>
      </c>
      <c r="L75">
        <f t="shared" si="2"/>
        <v>1.0986122886681098</v>
      </c>
      <c r="M75">
        <f t="shared" si="3"/>
        <v>3.1776370768516031</v>
      </c>
    </row>
    <row r="76" spans="1:13" x14ac:dyDescent="0.2">
      <c r="A76" t="s">
        <v>59</v>
      </c>
      <c r="B76" t="s">
        <v>60</v>
      </c>
      <c r="C76" s="1" t="d">
        <v>2018-07-01</v>
      </c>
      <c r="D76">
        <v>3</v>
      </c>
      <c r="E76">
        <v>23.99</v>
      </c>
      <c r="F76">
        <v>71.97</v>
      </c>
      <c r="G76" s="2" t="s">
        <v>62</v>
      </c>
      <c r="H76" s="2" t="s">
        <v>67</v>
      </c>
      <c r="I76">
        <v>22</v>
      </c>
      <c r="J76">
        <v>9</v>
      </c>
      <c r="K76">
        <v>1</v>
      </c>
      <c r="L76">
        <f t="shared" si="2"/>
        <v>1.0986122886681098</v>
      </c>
      <c r="M76">
        <f t="shared" si="3"/>
        <v>3.1776370768516031</v>
      </c>
    </row>
    <row r="77" spans="1:13" x14ac:dyDescent="0.2">
      <c r="A77" t="s">
        <v>59</v>
      </c>
      <c r="B77" t="s">
        <v>60</v>
      </c>
      <c r="C77" s="1" t="d">
        <v>2018-08-01</v>
      </c>
      <c r="D77">
        <v>2</v>
      </c>
      <c r="E77">
        <v>23.99</v>
      </c>
      <c r="F77">
        <v>47.98</v>
      </c>
      <c r="G77" s="2" t="s">
        <v>62</v>
      </c>
      <c r="H77" s="2" t="s">
        <v>67</v>
      </c>
      <c r="I77">
        <v>23</v>
      </c>
      <c r="J77">
        <v>8</v>
      </c>
      <c r="K77">
        <v>1</v>
      </c>
      <c r="L77">
        <f t="shared" si="2"/>
        <v>0.69314718055994529</v>
      </c>
      <c r="M77">
        <f t="shared" si="3"/>
        <v>3.1776370768516031</v>
      </c>
    </row>
    <row r="78" spans="1:13" x14ac:dyDescent="0.2">
      <c r="A78" t="s">
        <v>73</v>
      </c>
      <c r="B78" t="s">
        <v>74</v>
      </c>
      <c r="C78" s="1" t="d">
        <v>2017-07-01</v>
      </c>
      <c r="D78">
        <v>1</v>
      </c>
      <c r="E78">
        <v>134.99</v>
      </c>
      <c r="F78">
        <v>134.99</v>
      </c>
      <c r="G78" s="2" t="s">
        <v>75</v>
      </c>
      <c r="H78">
        <v>32.397599999999997</v>
      </c>
      <c r="I78">
        <v>21</v>
      </c>
      <c r="J78">
        <v>10</v>
      </c>
      <c r="K78">
        <v>1</v>
      </c>
      <c r="L78">
        <f t="shared" si="2"/>
        <v>0</v>
      </c>
      <c r="M78">
        <f t="shared" si="3"/>
        <v>4.9052007016207355</v>
      </c>
    </row>
    <row r="79" spans="1:13" x14ac:dyDescent="0.2">
      <c r="A79" t="s">
        <v>73</v>
      </c>
      <c r="B79" t="s">
        <v>74</v>
      </c>
      <c r="C79" s="1" t="d">
        <v>2017-08-01</v>
      </c>
      <c r="D79">
        <v>1</v>
      </c>
      <c r="E79">
        <v>134.99</v>
      </c>
      <c r="F79">
        <v>134.99</v>
      </c>
      <c r="G79" s="2" t="s">
        <v>75</v>
      </c>
      <c r="H79">
        <v>32.397599999999997</v>
      </c>
      <c r="I79">
        <v>23</v>
      </c>
      <c r="J79">
        <v>8</v>
      </c>
      <c r="K79">
        <v>1</v>
      </c>
      <c r="L79">
        <f t="shared" si="2"/>
        <v>0</v>
      </c>
      <c r="M79">
        <f t="shared" si="3"/>
        <v>4.9052007016207355</v>
      </c>
    </row>
    <row r="80" spans="1:13" x14ac:dyDescent="0.2">
      <c r="A80" t="s">
        <v>73</v>
      </c>
      <c r="B80" t="s">
        <v>74</v>
      </c>
      <c r="C80" s="1" t="d">
        <v>2017-10-01</v>
      </c>
      <c r="D80">
        <v>12</v>
      </c>
      <c r="E80">
        <v>146.99</v>
      </c>
      <c r="F80">
        <v>1763.88</v>
      </c>
      <c r="G80" s="2" t="s">
        <v>75</v>
      </c>
      <c r="H80">
        <v>35.2776</v>
      </c>
      <c r="I80">
        <v>22</v>
      </c>
      <c r="J80">
        <v>9</v>
      </c>
      <c r="K80">
        <v>2</v>
      </c>
      <c r="L80">
        <f t="shared" si="2"/>
        <v>2.4849066497880004</v>
      </c>
      <c r="M80">
        <f t="shared" si="3"/>
        <v>4.9903645572538959</v>
      </c>
    </row>
    <row r="81" spans="1:13" x14ac:dyDescent="0.2">
      <c r="A81" t="s">
        <v>73</v>
      </c>
      <c r="B81" t="s">
        <v>74</v>
      </c>
      <c r="C81" s="1" t="d">
        <v>2017-11-01</v>
      </c>
      <c r="D81">
        <v>27</v>
      </c>
      <c r="E81">
        <v>157.36037039999999</v>
      </c>
      <c r="F81">
        <v>4248.7300008000002</v>
      </c>
      <c r="G81" s="2" t="s">
        <v>75</v>
      </c>
      <c r="H81">
        <v>37.766488895999998</v>
      </c>
      <c r="I81">
        <v>22</v>
      </c>
      <c r="J81">
        <v>8</v>
      </c>
      <c r="K81">
        <v>4</v>
      </c>
      <c r="L81">
        <f t="shared" si="2"/>
        <v>3.2958368660043291</v>
      </c>
      <c r="M81">
        <f t="shared" si="3"/>
        <v>5.0585385279163662</v>
      </c>
    </row>
    <row r="82" spans="1:13" x14ac:dyDescent="0.2">
      <c r="A82" t="s">
        <v>73</v>
      </c>
      <c r="B82" t="s">
        <v>74</v>
      </c>
      <c r="C82" s="1" t="d">
        <v>2017-12-01</v>
      </c>
      <c r="D82">
        <v>29</v>
      </c>
      <c r="E82">
        <v>166.99</v>
      </c>
      <c r="F82">
        <v>4842.71</v>
      </c>
      <c r="G82" s="2" t="s">
        <v>75</v>
      </c>
      <c r="H82">
        <v>40.077599999999997</v>
      </c>
      <c r="I82">
        <v>21</v>
      </c>
      <c r="J82">
        <v>10</v>
      </c>
      <c r="K82">
        <v>1</v>
      </c>
      <c r="L82">
        <f t="shared" si="2"/>
        <v>3.3672958299864741</v>
      </c>
      <c r="M82">
        <f t="shared" si="3"/>
        <v>5.117933930384341</v>
      </c>
    </row>
    <row r="83" spans="1:13" x14ac:dyDescent="0.2">
      <c r="A83" t="s">
        <v>73</v>
      </c>
      <c r="B83" t="s">
        <v>74</v>
      </c>
      <c r="C83" s="1" t="d">
        <v>2018-01-01</v>
      </c>
      <c r="D83">
        <v>13</v>
      </c>
      <c r="E83">
        <v>166.99</v>
      </c>
      <c r="F83">
        <v>2170.87</v>
      </c>
      <c r="G83" s="2" t="s">
        <v>75</v>
      </c>
      <c r="H83">
        <v>40.077599999999997</v>
      </c>
      <c r="I83">
        <v>23</v>
      </c>
      <c r="J83">
        <v>8</v>
      </c>
      <c r="K83">
        <v>2</v>
      </c>
      <c r="L83">
        <f t="shared" si="2"/>
        <v>2.5649493574615367</v>
      </c>
      <c r="M83">
        <f t="shared" si="3"/>
        <v>5.117933930384341</v>
      </c>
    </row>
    <row r="84" spans="1:13" x14ac:dyDescent="0.2">
      <c r="A84" t="s">
        <v>73</v>
      </c>
      <c r="B84" t="s">
        <v>74</v>
      </c>
      <c r="C84" s="1" t="d">
        <v>2018-02-01</v>
      </c>
      <c r="D84">
        <v>8</v>
      </c>
      <c r="E84">
        <v>176.99</v>
      </c>
      <c r="F84">
        <v>1415.92</v>
      </c>
      <c r="G84" s="2" t="s">
        <v>75</v>
      </c>
      <c r="H84">
        <v>42.477600000000002</v>
      </c>
      <c r="I84">
        <v>20</v>
      </c>
      <c r="J84">
        <v>8</v>
      </c>
      <c r="K84">
        <v>2</v>
      </c>
      <c r="L84">
        <f t="shared" si="2"/>
        <v>2.0794415416798357</v>
      </c>
      <c r="M84">
        <f t="shared" si="3"/>
        <v>5.1760932338026624</v>
      </c>
    </row>
    <row r="85" spans="1:13" x14ac:dyDescent="0.2">
      <c r="A85" t="s">
        <v>73</v>
      </c>
      <c r="B85" t="s">
        <v>74</v>
      </c>
      <c r="C85" s="1" t="d">
        <v>2018-03-01</v>
      </c>
      <c r="D85">
        <v>11</v>
      </c>
      <c r="E85">
        <v>173.8081818</v>
      </c>
      <c r="F85">
        <v>1911.8899997999999</v>
      </c>
      <c r="G85" s="2" t="s">
        <v>75</v>
      </c>
      <c r="H85" s="2" t="s">
        <v>76</v>
      </c>
      <c r="I85">
        <v>22</v>
      </c>
      <c r="J85">
        <v>9</v>
      </c>
      <c r="K85">
        <v>1</v>
      </c>
      <c r="L85">
        <f t="shared" si="2"/>
        <v>2.3978952727983707</v>
      </c>
      <c r="M85">
        <f t="shared" si="3"/>
        <v>5.1579522876726207</v>
      </c>
    </row>
    <row r="86" spans="1:13" x14ac:dyDescent="0.2">
      <c r="A86" t="s">
        <v>73</v>
      </c>
      <c r="B86" t="s">
        <v>74</v>
      </c>
      <c r="C86" s="1" t="d">
        <v>2018-04-01</v>
      </c>
      <c r="D86">
        <v>6</v>
      </c>
      <c r="E86">
        <v>169.99</v>
      </c>
      <c r="F86">
        <v>1019.94</v>
      </c>
      <c r="G86" s="2" t="s">
        <v>75</v>
      </c>
      <c r="H86">
        <v>40.797600000000003</v>
      </c>
      <c r="I86">
        <v>21</v>
      </c>
      <c r="J86">
        <v>9</v>
      </c>
      <c r="K86">
        <v>1</v>
      </c>
      <c r="L86">
        <f t="shared" si="2"/>
        <v>1.791759469228055</v>
      </c>
      <c r="M86">
        <f t="shared" si="3"/>
        <v>5.1357396117906786</v>
      </c>
    </row>
    <row r="87" spans="1:13" x14ac:dyDescent="0.2">
      <c r="A87" t="s">
        <v>77</v>
      </c>
      <c r="B87" t="s">
        <v>60</v>
      </c>
      <c r="C87" s="1" t="d">
        <v>2018-01-01</v>
      </c>
      <c r="D87">
        <v>1</v>
      </c>
      <c r="E87">
        <v>110.99</v>
      </c>
      <c r="F87">
        <v>110.99</v>
      </c>
      <c r="G87" s="2" t="s">
        <v>62</v>
      </c>
      <c r="H87" s="2" t="s">
        <v>78</v>
      </c>
      <c r="I87">
        <v>23</v>
      </c>
      <c r="J87">
        <v>8</v>
      </c>
      <c r="K87">
        <v>2</v>
      </c>
      <c r="L87">
        <f t="shared" si="2"/>
        <v>0</v>
      </c>
      <c r="M87">
        <f t="shared" si="3"/>
        <v>4.7094401071638883</v>
      </c>
    </row>
    <row r="88" spans="1:13" x14ac:dyDescent="0.2">
      <c r="A88" t="s">
        <v>77</v>
      </c>
      <c r="B88" t="s">
        <v>60</v>
      </c>
      <c r="C88" s="1" t="d">
        <v>2018-02-01</v>
      </c>
      <c r="D88">
        <v>2</v>
      </c>
      <c r="E88">
        <v>110.99</v>
      </c>
      <c r="F88">
        <v>221.98</v>
      </c>
      <c r="G88" s="2" t="s">
        <v>62</v>
      </c>
      <c r="H88" s="2" t="s">
        <v>78</v>
      </c>
      <c r="I88">
        <v>20</v>
      </c>
      <c r="J88">
        <v>8</v>
      </c>
      <c r="K88">
        <v>2</v>
      </c>
      <c r="L88">
        <f t="shared" si="2"/>
        <v>0.69314718055994529</v>
      </c>
      <c r="M88">
        <f t="shared" si="3"/>
        <v>4.7094401071638883</v>
      </c>
    </row>
    <row r="89" spans="1:13" x14ac:dyDescent="0.2">
      <c r="A89" t="s">
        <v>77</v>
      </c>
      <c r="B89" t="s">
        <v>60</v>
      </c>
      <c r="C89" s="1" t="d">
        <v>2018-03-01</v>
      </c>
      <c r="D89">
        <v>9</v>
      </c>
      <c r="E89">
        <v>110.99</v>
      </c>
      <c r="F89">
        <v>998.91</v>
      </c>
      <c r="G89" s="2" t="s">
        <v>62</v>
      </c>
      <c r="H89" s="2" t="s">
        <v>78</v>
      </c>
      <c r="I89">
        <v>22</v>
      </c>
      <c r="J89">
        <v>9</v>
      </c>
      <c r="K89">
        <v>1</v>
      </c>
      <c r="L89">
        <f t="shared" si="2"/>
        <v>2.1972245773362196</v>
      </c>
      <c r="M89">
        <f t="shared" si="3"/>
        <v>4.7094401071638883</v>
      </c>
    </row>
    <row r="90" spans="1:13" x14ac:dyDescent="0.2">
      <c r="A90" t="s">
        <v>77</v>
      </c>
      <c r="B90" t="s">
        <v>60</v>
      </c>
      <c r="C90" s="1" t="d">
        <v>2018-04-01</v>
      </c>
      <c r="D90">
        <v>13</v>
      </c>
      <c r="E90">
        <v>116.52846150000001</v>
      </c>
      <c r="F90" s="2" t="s">
        <v>79</v>
      </c>
      <c r="G90" s="2" t="s">
        <v>27</v>
      </c>
      <c r="H90" s="2" t="s">
        <v>80</v>
      </c>
      <c r="I90">
        <v>21</v>
      </c>
      <c r="J90">
        <v>9</v>
      </c>
      <c r="K90">
        <v>1</v>
      </c>
      <c r="L90">
        <f t="shared" si="2"/>
        <v>2.5649493574615367</v>
      </c>
      <c r="M90">
        <f t="shared" si="3"/>
        <v>4.7581355478892462</v>
      </c>
    </row>
    <row r="91" spans="1:13" x14ac:dyDescent="0.2">
      <c r="A91" t="s">
        <v>77</v>
      </c>
      <c r="B91" t="s">
        <v>60</v>
      </c>
      <c r="C91" s="1" t="d">
        <v>2018-05-01</v>
      </c>
      <c r="D91">
        <v>23</v>
      </c>
      <c r="E91">
        <v>119.99</v>
      </c>
      <c r="F91">
        <v>2759.77</v>
      </c>
      <c r="G91" s="2" t="s">
        <v>62</v>
      </c>
      <c r="H91" s="2" t="s">
        <v>81</v>
      </c>
      <c r="I91">
        <v>23</v>
      </c>
      <c r="J91">
        <v>8</v>
      </c>
      <c r="K91">
        <v>3</v>
      </c>
      <c r="L91">
        <f t="shared" si="2"/>
        <v>3.1354942159291497</v>
      </c>
      <c r="M91">
        <f t="shared" si="3"/>
        <v>4.7874084059762971</v>
      </c>
    </row>
    <row r="92" spans="1:13" x14ac:dyDescent="0.2">
      <c r="A92" t="s">
        <v>77</v>
      </c>
      <c r="B92" t="s">
        <v>60</v>
      </c>
      <c r="C92" s="1" t="d">
        <v>2018-06-01</v>
      </c>
      <c r="D92">
        <v>43</v>
      </c>
      <c r="E92">
        <v>122.99</v>
      </c>
      <c r="F92">
        <v>5288.57</v>
      </c>
      <c r="G92" s="2" t="s">
        <v>62</v>
      </c>
      <c r="H92" s="2" t="s">
        <v>82</v>
      </c>
      <c r="I92">
        <v>21</v>
      </c>
      <c r="J92">
        <v>9</v>
      </c>
      <c r="K92">
        <v>0</v>
      </c>
      <c r="L92">
        <f t="shared" si="2"/>
        <v>3.7612001156935624</v>
      </c>
      <c r="M92">
        <f t="shared" si="3"/>
        <v>4.8121030512543195</v>
      </c>
    </row>
    <row r="93" spans="1:13" x14ac:dyDescent="0.2">
      <c r="A93" t="s">
        <v>77</v>
      </c>
      <c r="B93" t="s">
        <v>60</v>
      </c>
      <c r="C93" s="1" t="d">
        <v>2018-07-01</v>
      </c>
      <c r="D93">
        <v>33</v>
      </c>
      <c r="E93">
        <v>122.99</v>
      </c>
      <c r="F93" s="2" t="s">
        <v>83</v>
      </c>
      <c r="G93" s="2" t="s">
        <v>62</v>
      </c>
      <c r="H93" s="2" t="s">
        <v>82</v>
      </c>
      <c r="I93">
        <v>22</v>
      </c>
      <c r="J93">
        <v>9</v>
      </c>
      <c r="K93">
        <v>1</v>
      </c>
      <c r="L93">
        <f t="shared" si="2"/>
        <v>3.4965075614664802</v>
      </c>
      <c r="M93">
        <f t="shared" si="3"/>
        <v>4.8121030512543195</v>
      </c>
    </row>
    <row r="94" spans="1:13" x14ac:dyDescent="0.2">
      <c r="A94" t="s">
        <v>77</v>
      </c>
      <c r="B94" t="s">
        <v>60</v>
      </c>
      <c r="C94" s="1" t="d">
        <v>2018-08-01</v>
      </c>
      <c r="D94">
        <v>32</v>
      </c>
      <c r="E94">
        <v>122.99</v>
      </c>
      <c r="F94">
        <v>3935.68</v>
      </c>
      <c r="G94" s="2" t="s">
        <v>62</v>
      </c>
      <c r="H94" s="2" t="s">
        <v>82</v>
      </c>
      <c r="I94">
        <v>23</v>
      </c>
      <c r="J94">
        <v>8</v>
      </c>
      <c r="K94">
        <v>1</v>
      </c>
      <c r="L94">
        <f t="shared" si="2"/>
        <v>3.4657359027997265</v>
      </c>
      <c r="M94">
        <f t="shared" si="3"/>
        <v>4.8121030512543195</v>
      </c>
    </row>
    <row r="95" spans="1:13" x14ac:dyDescent="0.2">
      <c r="A95" t="s">
        <v>84</v>
      </c>
      <c r="B95" t="s">
        <v>85</v>
      </c>
      <c r="C95" s="1" t="d">
        <v>2017-06-01</v>
      </c>
      <c r="D95">
        <v>4</v>
      </c>
      <c r="E95">
        <v>56.99</v>
      </c>
      <c r="F95">
        <v>227.96</v>
      </c>
      <c r="G95">
        <v>4.2</v>
      </c>
      <c r="H95" s="2" t="s">
        <v>86</v>
      </c>
      <c r="I95">
        <v>22</v>
      </c>
      <c r="J95">
        <v>8</v>
      </c>
      <c r="K95">
        <v>1</v>
      </c>
      <c r="L95">
        <f t="shared" si="2"/>
        <v>1.3862943611198906</v>
      </c>
      <c r="M95">
        <f t="shared" si="3"/>
        <v>4.0428758138469085</v>
      </c>
    </row>
    <row r="96" spans="1:13" x14ac:dyDescent="0.2">
      <c r="A96" t="s">
        <v>84</v>
      </c>
      <c r="B96" t="s">
        <v>85</v>
      </c>
      <c r="C96" s="1" t="d">
        <v>2017-07-01</v>
      </c>
      <c r="D96">
        <v>7</v>
      </c>
      <c r="E96">
        <v>56.99</v>
      </c>
      <c r="F96">
        <v>398.93</v>
      </c>
      <c r="G96">
        <v>4.2</v>
      </c>
      <c r="H96" s="2" t="s">
        <v>86</v>
      </c>
      <c r="I96">
        <v>21</v>
      </c>
      <c r="J96">
        <v>10</v>
      </c>
      <c r="K96">
        <v>1</v>
      </c>
      <c r="L96">
        <f t="shared" si="2"/>
        <v>1.9459101490553132</v>
      </c>
      <c r="M96">
        <f t="shared" si="3"/>
        <v>4.0428758138469085</v>
      </c>
    </row>
    <row r="97" spans="1:13" x14ac:dyDescent="0.2">
      <c r="A97" t="s">
        <v>84</v>
      </c>
      <c r="B97" t="s">
        <v>85</v>
      </c>
      <c r="C97" s="1" t="d">
        <v>2017-08-01</v>
      </c>
      <c r="D97">
        <v>7</v>
      </c>
      <c r="E97">
        <v>56.99</v>
      </c>
      <c r="F97">
        <v>398.93</v>
      </c>
      <c r="G97" s="2" t="s">
        <v>87</v>
      </c>
      <c r="H97" s="2" t="s">
        <v>88</v>
      </c>
      <c r="I97">
        <v>23</v>
      </c>
      <c r="J97">
        <v>8</v>
      </c>
      <c r="K97">
        <v>1</v>
      </c>
      <c r="L97">
        <f t="shared" si="2"/>
        <v>1.9459101490553132</v>
      </c>
      <c r="M97">
        <f t="shared" si="3"/>
        <v>4.0428758138469085</v>
      </c>
    </row>
    <row r="98" spans="1:13" x14ac:dyDescent="0.2">
      <c r="A98" t="s">
        <v>84</v>
      </c>
      <c r="B98" t="s">
        <v>85</v>
      </c>
      <c r="C98" s="1" t="d">
        <v>2017-09-01</v>
      </c>
      <c r="D98">
        <v>17</v>
      </c>
      <c r="E98">
        <v>56.99</v>
      </c>
      <c r="F98">
        <v>968.83</v>
      </c>
      <c r="G98" s="2" t="s">
        <v>87</v>
      </c>
      <c r="H98" s="2" t="s">
        <v>88</v>
      </c>
      <c r="I98">
        <v>21</v>
      </c>
      <c r="J98">
        <v>9</v>
      </c>
      <c r="K98">
        <v>1</v>
      </c>
      <c r="L98">
        <f t="shared" si="2"/>
        <v>2.8332133440562162</v>
      </c>
      <c r="M98">
        <f t="shared" si="3"/>
        <v>4.0428758138469085</v>
      </c>
    </row>
    <row r="99" spans="1:13" x14ac:dyDescent="0.2">
      <c r="A99" t="s">
        <v>84</v>
      </c>
      <c r="B99" t="s">
        <v>85</v>
      </c>
      <c r="C99" s="1" t="d">
        <v>2017-10-01</v>
      </c>
      <c r="D99">
        <v>17</v>
      </c>
      <c r="E99">
        <v>56.99</v>
      </c>
      <c r="F99">
        <v>968.83</v>
      </c>
      <c r="G99" s="2" t="s">
        <v>87</v>
      </c>
      <c r="H99" s="2" t="s">
        <v>88</v>
      </c>
      <c r="I99">
        <v>22</v>
      </c>
      <c r="J99">
        <v>9</v>
      </c>
      <c r="K99">
        <v>2</v>
      </c>
      <c r="L99">
        <f t="shared" si="2"/>
        <v>2.8332133440562162</v>
      </c>
      <c r="M99">
        <f t="shared" si="3"/>
        <v>4.0428758138469085</v>
      </c>
    </row>
    <row r="100" spans="1:13" x14ac:dyDescent="0.2">
      <c r="A100" t="s">
        <v>84</v>
      </c>
      <c r="B100" t="s">
        <v>85</v>
      </c>
      <c r="C100" s="1" t="d">
        <v>2017-11-01</v>
      </c>
      <c r="D100">
        <v>20</v>
      </c>
      <c r="E100">
        <v>56.99</v>
      </c>
      <c r="F100">
        <v>1139.8</v>
      </c>
      <c r="G100" s="2" t="s">
        <v>87</v>
      </c>
      <c r="H100" s="2" t="s">
        <v>88</v>
      </c>
      <c r="I100">
        <v>22</v>
      </c>
      <c r="J100">
        <v>8</v>
      </c>
      <c r="K100">
        <v>4</v>
      </c>
      <c r="L100">
        <f t="shared" si="2"/>
        <v>2.9957322735539909</v>
      </c>
      <c r="M100">
        <f t="shared" si="3"/>
        <v>4.0428758138469085</v>
      </c>
    </row>
    <row r="101" spans="1:13" x14ac:dyDescent="0.2">
      <c r="A101" t="s">
        <v>84</v>
      </c>
      <c r="B101" t="s">
        <v>85</v>
      </c>
      <c r="C101" s="1" t="d">
        <v>2017-12-01</v>
      </c>
      <c r="D101">
        <v>24</v>
      </c>
      <c r="E101">
        <v>56.99</v>
      </c>
      <c r="F101">
        <v>1367.76</v>
      </c>
      <c r="G101" s="2" t="s">
        <v>87</v>
      </c>
      <c r="H101" s="2" t="s">
        <v>88</v>
      </c>
      <c r="I101">
        <v>21</v>
      </c>
      <c r="J101">
        <v>10</v>
      </c>
      <c r="K101">
        <v>1</v>
      </c>
      <c r="L101">
        <f t="shared" si="2"/>
        <v>3.1780538303479458</v>
      </c>
      <c r="M101">
        <f t="shared" si="3"/>
        <v>4.0428758138469085</v>
      </c>
    </row>
    <row r="102" spans="1:13" x14ac:dyDescent="0.2">
      <c r="A102" t="s">
        <v>84</v>
      </c>
      <c r="B102" t="s">
        <v>85</v>
      </c>
      <c r="C102" s="1" t="d">
        <v>2018-01-01</v>
      </c>
      <c r="D102">
        <v>10</v>
      </c>
      <c r="E102">
        <v>56.99</v>
      </c>
      <c r="F102">
        <v>569.9</v>
      </c>
      <c r="G102" s="2" t="s">
        <v>87</v>
      </c>
      <c r="H102" s="2" t="s">
        <v>88</v>
      </c>
      <c r="I102">
        <v>23</v>
      </c>
      <c r="J102">
        <v>8</v>
      </c>
      <c r="K102">
        <v>2</v>
      </c>
      <c r="L102">
        <f t="shared" si="2"/>
        <v>2.3025850929940459</v>
      </c>
      <c r="M102">
        <f t="shared" si="3"/>
        <v>4.0428758138469085</v>
      </c>
    </row>
    <row r="103" spans="1:13" x14ac:dyDescent="0.2">
      <c r="A103" t="s">
        <v>84</v>
      </c>
      <c r="B103" t="s">
        <v>85</v>
      </c>
      <c r="C103" s="1" t="d">
        <v>2018-02-01</v>
      </c>
      <c r="D103">
        <v>4</v>
      </c>
      <c r="E103">
        <v>56.99</v>
      </c>
      <c r="F103">
        <v>227.96</v>
      </c>
      <c r="G103" s="2" t="s">
        <v>87</v>
      </c>
      <c r="H103" s="2" t="s">
        <v>88</v>
      </c>
      <c r="I103">
        <v>20</v>
      </c>
      <c r="J103">
        <v>8</v>
      </c>
      <c r="K103">
        <v>2</v>
      </c>
      <c r="L103">
        <f t="shared" si="2"/>
        <v>1.3862943611198906</v>
      </c>
      <c r="M103">
        <f t="shared" si="3"/>
        <v>4.0428758138469085</v>
      </c>
    </row>
    <row r="104" spans="1:13" x14ac:dyDescent="0.2">
      <c r="A104" t="s">
        <v>84</v>
      </c>
      <c r="B104" t="s">
        <v>85</v>
      </c>
      <c r="C104" s="1" t="d">
        <v>2018-03-01</v>
      </c>
      <c r="D104">
        <v>14</v>
      </c>
      <c r="E104">
        <v>50.49</v>
      </c>
      <c r="F104">
        <v>706.86</v>
      </c>
      <c r="G104" s="2" t="s">
        <v>87</v>
      </c>
      <c r="H104" s="2" t="s">
        <v>89</v>
      </c>
      <c r="I104">
        <v>22</v>
      </c>
      <c r="J104">
        <v>9</v>
      </c>
      <c r="K104">
        <v>1</v>
      </c>
      <c r="L104">
        <f t="shared" si="2"/>
        <v>2.6390573296152584</v>
      </c>
      <c r="M104">
        <f t="shared" si="3"/>
        <v>3.9217752968708242</v>
      </c>
    </row>
    <row r="105" spans="1:13" x14ac:dyDescent="0.2">
      <c r="A105" t="s">
        <v>84</v>
      </c>
      <c r="B105" t="s">
        <v>85</v>
      </c>
      <c r="C105" s="1" t="d">
        <v>2018-04-01</v>
      </c>
      <c r="D105">
        <v>2</v>
      </c>
      <c r="E105">
        <v>49.99</v>
      </c>
      <c r="F105">
        <v>99.98</v>
      </c>
      <c r="G105" s="2" t="s">
        <v>87</v>
      </c>
      <c r="H105" s="2" t="s">
        <v>90</v>
      </c>
      <c r="I105">
        <v>21</v>
      </c>
      <c r="J105">
        <v>9</v>
      </c>
      <c r="K105">
        <v>1</v>
      </c>
      <c r="L105">
        <f t="shared" si="2"/>
        <v>0.69314718055994529</v>
      </c>
      <c r="M105">
        <f t="shared" si="3"/>
        <v>3.9118229854254789</v>
      </c>
    </row>
    <row r="106" spans="1:13" x14ac:dyDescent="0.2">
      <c r="A106" t="s">
        <v>84</v>
      </c>
      <c r="B106" t="s">
        <v>85</v>
      </c>
      <c r="C106" s="1" t="d">
        <v>2018-07-01</v>
      </c>
      <c r="D106">
        <v>8</v>
      </c>
      <c r="E106">
        <v>49.99</v>
      </c>
      <c r="F106">
        <v>399.92</v>
      </c>
      <c r="G106" s="2" t="s">
        <v>87</v>
      </c>
      <c r="H106" s="2" t="s">
        <v>90</v>
      </c>
      <c r="I106">
        <v>22</v>
      </c>
      <c r="J106">
        <v>9</v>
      </c>
      <c r="K106">
        <v>1</v>
      </c>
      <c r="L106">
        <f t="shared" si="2"/>
        <v>2.0794415416798357</v>
      </c>
      <c r="M106">
        <f t="shared" si="3"/>
        <v>3.9118229854254789</v>
      </c>
    </row>
    <row r="107" spans="1:13" x14ac:dyDescent="0.2">
      <c r="A107" t="s">
        <v>84</v>
      </c>
      <c r="B107" t="s">
        <v>85</v>
      </c>
      <c r="C107" s="1" t="d">
        <v>2018-08-01</v>
      </c>
      <c r="D107">
        <v>4</v>
      </c>
      <c r="E107">
        <v>49.99</v>
      </c>
      <c r="F107">
        <v>199.96</v>
      </c>
      <c r="G107" s="2" t="s">
        <v>87</v>
      </c>
      <c r="H107" s="2" t="s">
        <v>90</v>
      </c>
      <c r="I107">
        <v>23</v>
      </c>
      <c r="J107">
        <v>8</v>
      </c>
      <c r="K107">
        <v>1</v>
      </c>
      <c r="L107">
        <f t="shared" si="2"/>
        <v>1.3862943611198906</v>
      </c>
      <c r="M107">
        <f t="shared" si="3"/>
        <v>3.9118229854254789</v>
      </c>
    </row>
    <row r="108" spans="1:13" x14ac:dyDescent="0.2">
      <c r="A108" t="s">
        <v>91</v>
      </c>
      <c r="B108" t="s">
        <v>74</v>
      </c>
      <c r="C108" s="1" t="d">
        <v>2017-04-01</v>
      </c>
      <c r="D108">
        <v>2</v>
      </c>
      <c r="E108">
        <v>99.99</v>
      </c>
      <c r="F108">
        <v>199.98</v>
      </c>
      <c r="G108" s="2" t="s">
        <v>75</v>
      </c>
      <c r="H108">
        <v>23.997599999999998</v>
      </c>
      <c r="I108">
        <v>20</v>
      </c>
      <c r="J108">
        <v>10</v>
      </c>
      <c r="K108">
        <v>2</v>
      </c>
      <c r="L108">
        <f t="shared" si="2"/>
        <v>0.69314718055994529</v>
      </c>
      <c r="M108">
        <f t="shared" si="3"/>
        <v>4.6050701809877577</v>
      </c>
    </row>
    <row r="109" spans="1:13" x14ac:dyDescent="0.2">
      <c r="A109" t="s">
        <v>91</v>
      </c>
      <c r="B109" t="s">
        <v>74</v>
      </c>
      <c r="C109" s="1" t="d">
        <v>2017-05-01</v>
      </c>
      <c r="D109">
        <v>18</v>
      </c>
      <c r="E109">
        <v>99.99</v>
      </c>
      <c r="F109">
        <v>1799.82</v>
      </c>
      <c r="G109" s="2" t="s">
        <v>75</v>
      </c>
      <c r="H109">
        <v>23.997599999999998</v>
      </c>
      <c r="I109">
        <v>23</v>
      </c>
      <c r="J109">
        <v>8</v>
      </c>
      <c r="K109">
        <v>1</v>
      </c>
      <c r="L109">
        <f t="shared" si="2"/>
        <v>2.8903717578961645</v>
      </c>
      <c r="M109">
        <f t="shared" si="3"/>
        <v>4.6050701809877577</v>
      </c>
    </row>
    <row r="110" spans="1:13" x14ac:dyDescent="0.2">
      <c r="A110" t="s">
        <v>91</v>
      </c>
      <c r="B110" t="s">
        <v>74</v>
      </c>
      <c r="C110" s="1" t="d">
        <v>2017-06-01</v>
      </c>
      <c r="D110">
        <v>11</v>
      </c>
      <c r="E110">
        <v>99.99</v>
      </c>
      <c r="F110" s="2" t="s">
        <v>92</v>
      </c>
      <c r="G110" s="2" t="s">
        <v>75</v>
      </c>
      <c r="H110">
        <v>23.997599999999998</v>
      </c>
      <c r="I110">
        <v>22</v>
      </c>
      <c r="J110">
        <v>8</v>
      </c>
      <c r="K110">
        <v>1</v>
      </c>
      <c r="L110">
        <f t="shared" si="2"/>
        <v>2.3978952727983707</v>
      </c>
      <c r="M110">
        <f t="shared" si="3"/>
        <v>4.6050701809877577</v>
      </c>
    </row>
    <row r="111" spans="1:13" x14ac:dyDescent="0.2">
      <c r="A111" t="s">
        <v>91</v>
      </c>
      <c r="B111" t="s">
        <v>74</v>
      </c>
      <c r="C111" s="1" t="d">
        <v>2017-07-01</v>
      </c>
      <c r="D111">
        <v>14</v>
      </c>
      <c r="E111">
        <v>99.99</v>
      </c>
      <c r="F111">
        <v>1399.86</v>
      </c>
      <c r="G111" s="2" t="s">
        <v>75</v>
      </c>
      <c r="H111">
        <v>23.997599999999998</v>
      </c>
      <c r="I111">
        <v>21</v>
      </c>
      <c r="J111">
        <v>10</v>
      </c>
      <c r="K111">
        <v>1</v>
      </c>
      <c r="L111">
        <f t="shared" si="2"/>
        <v>2.6390573296152584</v>
      </c>
      <c r="M111">
        <f t="shared" si="3"/>
        <v>4.6050701809877577</v>
      </c>
    </row>
    <row r="112" spans="1:13" x14ac:dyDescent="0.2">
      <c r="A112" t="s">
        <v>91</v>
      </c>
      <c r="B112" t="s">
        <v>74</v>
      </c>
      <c r="C112" s="1" t="d">
        <v>2017-08-01</v>
      </c>
      <c r="D112">
        <v>8</v>
      </c>
      <c r="E112">
        <v>99.99</v>
      </c>
      <c r="F112">
        <v>799.92</v>
      </c>
      <c r="G112" s="2" t="s">
        <v>75</v>
      </c>
      <c r="H112">
        <v>23.997599999999998</v>
      </c>
      <c r="I112">
        <v>23</v>
      </c>
      <c r="J112">
        <v>8</v>
      </c>
      <c r="K112">
        <v>1</v>
      </c>
      <c r="L112">
        <f t="shared" si="2"/>
        <v>2.0794415416798357</v>
      </c>
      <c r="M112">
        <f t="shared" si="3"/>
        <v>4.6050701809877577</v>
      </c>
    </row>
    <row r="113" spans="1:13" x14ac:dyDescent="0.2">
      <c r="A113" t="s">
        <v>91</v>
      </c>
      <c r="B113" t="s">
        <v>74</v>
      </c>
      <c r="C113" s="1" t="d">
        <v>2017-09-01</v>
      </c>
      <c r="D113">
        <v>6</v>
      </c>
      <c r="E113">
        <v>99.99</v>
      </c>
      <c r="F113" s="2" t="s">
        <v>93</v>
      </c>
      <c r="G113" s="2" t="s">
        <v>75</v>
      </c>
      <c r="H113">
        <v>23.997599999999998</v>
      </c>
      <c r="I113">
        <v>21</v>
      </c>
      <c r="J113">
        <v>9</v>
      </c>
      <c r="K113">
        <v>1</v>
      </c>
      <c r="L113">
        <f t="shared" si="2"/>
        <v>1.791759469228055</v>
      </c>
      <c r="M113">
        <f t="shared" si="3"/>
        <v>4.6050701809877577</v>
      </c>
    </row>
    <row r="114" spans="1:13" x14ac:dyDescent="0.2">
      <c r="A114" t="s">
        <v>91</v>
      </c>
      <c r="B114" t="s">
        <v>74</v>
      </c>
      <c r="C114" s="1" t="d">
        <v>2017-10-01</v>
      </c>
      <c r="D114">
        <v>9</v>
      </c>
      <c r="E114">
        <v>99.99</v>
      </c>
      <c r="F114">
        <v>899.91</v>
      </c>
      <c r="G114" s="2" t="s">
        <v>75</v>
      </c>
      <c r="H114">
        <v>23.997599999999998</v>
      </c>
      <c r="I114">
        <v>22</v>
      </c>
      <c r="J114">
        <v>9</v>
      </c>
      <c r="K114">
        <v>2</v>
      </c>
      <c r="L114">
        <f t="shared" si="2"/>
        <v>2.1972245773362196</v>
      </c>
      <c r="M114">
        <f t="shared" si="3"/>
        <v>4.6050701809877577</v>
      </c>
    </row>
    <row r="115" spans="1:13" x14ac:dyDescent="0.2">
      <c r="A115" t="s">
        <v>91</v>
      </c>
      <c r="B115" t="s">
        <v>74</v>
      </c>
      <c r="C115" s="1" t="d">
        <v>2017-11-01</v>
      </c>
      <c r="D115">
        <v>2</v>
      </c>
      <c r="E115">
        <v>99.99</v>
      </c>
      <c r="F115">
        <v>199.98</v>
      </c>
      <c r="G115" s="2" t="s">
        <v>75</v>
      </c>
      <c r="H115">
        <v>23.997599999999998</v>
      </c>
      <c r="I115">
        <v>22</v>
      </c>
      <c r="J115">
        <v>8</v>
      </c>
      <c r="K115">
        <v>4</v>
      </c>
      <c r="L115">
        <f t="shared" si="2"/>
        <v>0.69314718055994529</v>
      </c>
      <c r="M115">
        <f t="shared" si="3"/>
        <v>4.6050701809877577</v>
      </c>
    </row>
    <row r="116" spans="1:13" x14ac:dyDescent="0.2">
      <c r="A116" t="s">
        <v>91</v>
      </c>
      <c r="B116" t="s">
        <v>74</v>
      </c>
      <c r="C116" s="1" t="d">
        <v>2017-12-01</v>
      </c>
      <c r="D116">
        <v>3</v>
      </c>
      <c r="E116">
        <v>99.99</v>
      </c>
      <c r="F116" s="2" t="s">
        <v>94</v>
      </c>
      <c r="G116" s="2" t="s">
        <v>75</v>
      </c>
      <c r="H116">
        <v>23.997599999999998</v>
      </c>
      <c r="I116">
        <v>21</v>
      </c>
      <c r="J116">
        <v>10</v>
      </c>
      <c r="K116">
        <v>1</v>
      </c>
      <c r="L116">
        <f t="shared" si="2"/>
        <v>1.0986122886681098</v>
      </c>
      <c r="M116">
        <f t="shared" si="3"/>
        <v>4.6050701809877577</v>
      </c>
    </row>
    <row r="117" spans="1:13" x14ac:dyDescent="0.2">
      <c r="A117" t="s">
        <v>91</v>
      </c>
      <c r="B117" t="s">
        <v>74</v>
      </c>
      <c r="C117" s="1" t="d">
        <v>2018-01-01</v>
      </c>
      <c r="D117">
        <v>6</v>
      </c>
      <c r="E117">
        <v>99.99</v>
      </c>
      <c r="F117" s="2" t="s">
        <v>93</v>
      </c>
      <c r="G117" s="2" t="s">
        <v>75</v>
      </c>
      <c r="H117">
        <v>23.997599999999998</v>
      </c>
      <c r="I117">
        <v>23</v>
      </c>
      <c r="J117">
        <v>8</v>
      </c>
      <c r="K117">
        <v>2</v>
      </c>
      <c r="L117">
        <f t="shared" si="2"/>
        <v>1.791759469228055</v>
      </c>
      <c r="M117">
        <f t="shared" si="3"/>
        <v>4.6050701809877577</v>
      </c>
    </row>
    <row r="118" spans="1:13" x14ac:dyDescent="0.2">
      <c r="A118" t="s">
        <v>91</v>
      </c>
      <c r="B118" t="s">
        <v>74</v>
      </c>
      <c r="C118" s="1" t="d">
        <v>2018-02-01</v>
      </c>
      <c r="D118">
        <v>9</v>
      </c>
      <c r="E118">
        <v>99.99</v>
      </c>
      <c r="F118">
        <v>899.91</v>
      </c>
      <c r="G118" s="2" t="s">
        <v>75</v>
      </c>
      <c r="H118">
        <v>23.997599999999998</v>
      </c>
      <c r="I118">
        <v>20</v>
      </c>
      <c r="J118">
        <v>8</v>
      </c>
      <c r="K118">
        <v>2</v>
      </c>
      <c r="L118">
        <f t="shared" si="2"/>
        <v>2.1972245773362196</v>
      </c>
      <c r="M118">
        <f t="shared" si="3"/>
        <v>4.6050701809877577</v>
      </c>
    </row>
    <row r="119" spans="1:13" x14ac:dyDescent="0.2">
      <c r="A119" t="s">
        <v>91</v>
      </c>
      <c r="B119" t="s">
        <v>74</v>
      </c>
      <c r="C119" s="1" t="d">
        <v>2018-03-01</v>
      </c>
      <c r="D119">
        <v>5</v>
      </c>
      <c r="E119">
        <v>97.951999999999998</v>
      </c>
      <c r="F119">
        <v>489.76</v>
      </c>
      <c r="G119" s="2" t="s">
        <v>75</v>
      </c>
      <c r="H119">
        <v>23.508479999999999</v>
      </c>
      <c r="I119">
        <v>22</v>
      </c>
      <c r="J119">
        <v>9</v>
      </c>
      <c r="K119">
        <v>1</v>
      </c>
      <c r="L119">
        <f t="shared" si="2"/>
        <v>1.6094379124341003</v>
      </c>
      <c r="M119">
        <f t="shared" si="3"/>
        <v>4.5844775627630021</v>
      </c>
    </row>
    <row r="120" spans="1:13" x14ac:dyDescent="0.2">
      <c r="A120" t="s">
        <v>91</v>
      </c>
      <c r="B120" t="s">
        <v>74</v>
      </c>
      <c r="C120" s="1" t="d">
        <v>2018-04-01</v>
      </c>
      <c r="D120">
        <v>4</v>
      </c>
      <c r="E120">
        <v>84.692499999999995</v>
      </c>
      <c r="F120">
        <v>338.77</v>
      </c>
      <c r="G120" s="2" t="s">
        <v>75</v>
      </c>
      <c r="H120" s="2" t="s">
        <v>95</v>
      </c>
      <c r="I120">
        <v>21</v>
      </c>
      <c r="J120">
        <v>9</v>
      </c>
      <c r="K120">
        <v>1</v>
      </c>
      <c r="L120">
        <f t="shared" si="2"/>
        <v>1.3862943611198906</v>
      </c>
      <c r="M120">
        <f t="shared" si="3"/>
        <v>4.4390270499215987</v>
      </c>
    </row>
    <row r="121" spans="1:13" x14ac:dyDescent="0.2">
      <c r="A121" t="s">
        <v>96</v>
      </c>
      <c r="B121" t="s">
        <v>60</v>
      </c>
      <c r="C121" s="1" t="d">
        <v>2017-03-01</v>
      </c>
      <c r="D121">
        <v>6</v>
      </c>
      <c r="E121">
        <v>89.99</v>
      </c>
      <c r="F121" s="2" t="s">
        <v>97</v>
      </c>
      <c r="G121" s="2" t="s">
        <v>62</v>
      </c>
      <c r="H121" s="2" t="s">
        <v>98</v>
      </c>
      <c r="I121">
        <v>23</v>
      </c>
      <c r="J121">
        <v>8</v>
      </c>
      <c r="K121">
        <v>1</v>
      </c>
      <c r="L121">
        <f t="shared" si="2"/>
        <v>1.791759469228055</v>
      </c>
      <c r="M121">
        <f t="shared" si="3"/>
        <v>4.4996985530458575</v>
      </c>
    </row>
    <row r="122" spans="1:13" x14ac:dyDescent="0.2">
      <c r="A122" t="s">
        <v>96</v>
      </c>
      <c r="B122" t="s">
        <v>60</v>
      </c>
      <c r="C122" s="1" t="d">
        <v>2017-05-01</v>
      </c>
      <c r="D122">
        <v>6</v>
      </c>
      <c r="E122">
        <v>89.99</v>
      </c>
      <c r="F122" s="2" t="s">
        <v>97</v>
      </c>
      <c r="G122" s="2" t="s">
        <v>62</v>
      </c>
      <c r="H122" s="2" t="s">
        <v>98</v>
      </c>
      <c r="I122">
        <v>23</v>
      </c>
      <c r="J122">
        <v>8</v>
      </c>
      <c r="K122">
        <v>1</v>
      </c>
      <c r="L122">
        <f t="shared" si="2"/>
        <v>1.791759469228055</v>
      </c>
      <c r="M122">
        <f t="shared" si="3"/>
        <v>4.4996985530458575</v>
      </c>
    </row>
    <row r="123" spans="1:13" x14ac:dyDescent="0.2">
      <c r="A123" t="s">
        <v>96</v>
      </c>
      <c r="B123" t="s">
        <v>60</v>
      </c>
      <c r="C123" s="1" t="d">
        <v>2017-06-01</v>
      </c>
      <c r="D123">
        <v>9</v>
      </c>
      <c r="E123">
        <v>89.99</v>
      </c>
      <c r="F123">
        <v>809.91</v>
      </c>
      <c r="G123" s="2" t="s">
        <v>62</v>
      </c>
      <c r="H123" s="2" t="s">
        <v>98</v>
      </c>
      <c r="I123">
        <v>22</v>
      </c>
      <c r="J123">
        <v>8</v>
      </c>
      <c r="K123">
        <v>1</v>
      </c>
      <c r="L123">
        <f t="shared" si="2"/>
        <v>2.1972245773362196</v>
      </c>
      <c r="M123">
        <f t="shared" si="3"/>
        <v>4.4996985530458575</v>
      </c>
    </row>
    <row r="124" spans="1:13" x14ac:dyDescent="0.2">
      <c r="A124" t="s">
        <v>96</v>
      </c>
      <c r="B124" t="s">
        <v>60</v>
      </c>
      <c r="C124" s="1" t="d">
        <v>2017-07-01</v>
      </c>
      <c r="D124">
        <v>17</v>
      </c>
      <c r="E124">
        <v>89.99</v>
      </c>
      <c r="F124">
        <v>1529.83</v>
      </c>
      <c r="G124" s="2" t="s">
        <v>62</v>
      </c>
      <c r="H124" s="2" t="s">
        <v>98</v>
      </c>
      <c r="I124">
        <v>21</v>
      </c>
      <c r="J124">
        <v>10</v>
      </c>
      <c r="K124">
        <v>1</v>
      </c>
      <c r="L124">
        <f t="shared" si="2"/>
        <v>2.8332133440562162</v>
      </c>
      <c r="M124">
        <f t="shared" si="3"/>
        <v>4.4996985530458575</v>
      </c>
    </row>
    <row r="125" spans="1:13" x14ac:dyDescent="0.2">
      <c r="A125" t="s">
        <v>96</v>
      </c>
      <c r="B125" t="s">
        <v>60</v>
      </c>
      <c r="C125" s="1" t="d">
        <v>2017-08-01</v>
      </c>
      <c r="D125">
        <v>18</v>
      </c>
      <c r="E125">
        <v>89.99</v>
      </c>
      <c r="F125">
        <v>1619.82</v>
      </c>
      <c r="G125" s="2" t="s">
        <v>62</v>
      </c>
      <c r="H125" s="2" t="s">
        <v>98</v>
      </c>
      <c r="I125">
        <v>23</v>
      </c>
      <c r="J125">
        <v>8</v>
      </c>
      <c r="K125">
        <v>1</v>
      </c>
      <c r="L125">
        <f t="shared" si="2"/>
        <v>2.8903717578961645</v>
      </c>
      <c r="M125">
        <f t="shared" si="3"/>
        <v>4.4996985530458575</v>
      </c>
    </row>
    <row r="126" spans="1:13" x14ac:dyDescent="0.2">
      <c r="A126" t="s">
        <v>96</v>
      </c>
      <c r="B126" t="s">
        <v>60</v>
      </c>
      <c r="C126" s="1" t="d">
        <v>2017-09-01</v>
      </c>
      <c r="D126">
        <v>21</v>
      </c>
      <c r="E126">
        <v>89.99</v>
      </c>
      <c r="F126">
        <v>1889.79</v>
      </c>
      <c r="G126" s="2" t="s">
        <v>62</v>
      </c>
      <c r="H126" s="2" t="s">
        <v>98</v>
      </c>
      <c r="I126">
        <v>21</v>
      </c>
      <c r="J126">
        <v>9</v>
      </c>
      <c r="K126">
        <v>1</v>
      </c>
      <c r="L126">
        <f t="shared" si="2"/>
        <v>3.044522437723423</v>
      </c>
      <c r="M126">
        <f t="shared" si="3"/>
        <v>4.4996985530458575</v>
      </c>
    </row>
    <row r="127" spans="1:13" x14ac:dyDescent="0.2">
      <c r="A127" t="s">
        <v>96</v>
      </c>
      <c r="B127" t="s">
        <v>60</v>
      </c>
      <c r="C127" s="1" t="d">
        <v>2017-10-01</v>
      </c>
      <c r="D127">
        <v>24</v>
      </c>
      <c r="E127">
        <v>89.99</v>
      </c>
      <c r="F127" s="2" t="s">
        <v>99</v>
      </c>
      <c r="G127" s="2" t="s">
        <v>62</v>
      </c>
      <c r="H127" s="2" t="s">
        <v>98</v>
      </c>
      <c r="I127">
        <v>22</v>
      </c>
      <c r="J127">
        <v>9</v>
      </c>
      <c r="K127">
        <v>2</v>
      </c>
      <c r="L127">
        <f t="shared" si="2"/>
        <v>3.1780538303479458</v>
      </c>
      <c r="M127">
        <f t="shared" si="3"/>
        <v>4.4996985530458575</v>
      </c>
    </row>
    <row r="128" spans="1:13" x14ac:dyDescent="0.2">
      <c r="A128" t="s">
        <v>96</v>
      </c>
      <c r="B128" t="s">
        <v>60</v>
      </c>
      <c r="C128" s="1" t="d">
        <v>2017-11-01</v>
      </c>
      <c r="D128">
        <v>26</v>
      </c>
      <c r="E128">
        <v>89.99</v>
      </c>
      <c r="F128">
        <v>2339.7399999999998</v>
      </c>
      <c r="G128" s="2" t="s">
        <v>62</v>
      </c>
      <c r="H128" s="2" t="s">
        <v>98</v>
      </c>
      <c r="I128">
        <v>22</v>
      </c>
      <c r="J128">
        <v>8</v>
      </c>
      <c r="K128">
        <v>4</v>
      </c>
      <c r="L128">
        <f t="shared" si="2"/>
        <v>3.2580965380214821</v>
      </c>
      <c r="M128">
        <f t="shared" si="3"/>
        <v>4.4996985530458575</v>
      </c>
    </row>
    <row r="129" spans="1:13" x14ac:dyDescent="0.2">
      <c r="A129" t="s">
        <v>96</v>
      </c>
      <c r="B129" t="s">
        <v>60</v>
      </c>
      <c r="C129" s="1" t="d">
        <v>2017-12-01</v>
      </c>
      <c r="D129">
        <v>19</v>
      </c>
      <c r="E129">
        <v>89.99</v>
      </c>
      <c r="F129">
        <v>1709.81</v>
      </c>
      <c r="G129" s="2" t="s">
        <v>62</v>
      </c>
      <c r="H129" s="2" t="s">
        <v>98</v>
      </c>
      <c r="I129">
        <v>21</v>
      </c>
      <c r="J129">
        <v>10</v>
      </c>
      <c r="K129">
        <v>1</v>
      </c>
      <c r="L129">
        <f t="shared" si="2"/>
        <v>2.9444389791664403</v>
      </c>
      <c r="M129">
        <f t="shared" si="3"/>
        <v>4.4996985530458575</v>
      </c>
    </row>
    <row r="130" spans="1:13" x14ac:dyDescent="0.2">
      <c r="A130" t="s">
        <v>96</v>
      </c>
      <c r="B130" t="s">
        <v>60</v>
      </c>
      <c r="C130" s="1" t="d">
        <v>2018-01-01</v>
      </c>
      <c r="D130">
        <v>20</v>
      </c>
      <c r="E130">
        <v>89.99</v>
      </c>
      <c r="F130">
        <v>1799.8</v>
      </c>
      <c r="G130" s="2" t="s">
        <v>62</v>
      </c>
      <c r="H130" s="2" t="s">
        <v>98</v>
      </c>
      <c r="I130">
        <v>23</v>
      </c>
      <c r="J130">
        <v>8</v>
      </c>
      <c r="K130">
        <v>2</v>
      </c>
      <c r="L130">
        <f t="shared" si="2"/>
        <v>2.9957322735539909</v>
      </c>
      <c r="M130">
        <f t="shared" si="3"/>
        <v>4.4996985530458575</v>
      </c>
    </row>
    <row r="131" spans="1:13" x14ac:dyDescent="0.2">
      <c r="A131" t="s">
        <v>96</v>
      </c>
      <c r="B131" t="s">
        <v>60</v>
      </c>
      <c r="C131" s="1" t="d">
        <v>2018-02-01</v>
      </c>
      <c r="D131">
        <v>17</v>
      </c>
      <c r="E131">
        <v>89.99</v>
      </c>
      <c r="F131">
        <v>1529.83</v>
      </c>
      <c r="G131" s="2" t="s">
        <v>62</v>
      </c>
      <c r="H131" s="2" t="s">
        <v>98</v>
      </c>
      <c r="I131">
        <v>20</v>
      </c>
      <c r="J131">
        <v>8</v>
      </c>
      <c r="K131">
        <v>2</v>
      </c>
      <c r="L131">
        <f t="shared" ref="L131:L194" si="4">IF(D131&gt;0, LN(D131), "")</f>
        <v>2.8332133440562162</v>
      </c>
      <c r="M131">
        <f t="shared" ref="M131:M194" si="5">LN(E131)</f>
        <v>4.4996985530458575</v>
      </c>
    </row>
    <row r="132" spans="1:13" x14ac:dyDescent="0.2">
      <c r="A132" t="s">
        <v>96</v>
      </c>
      <c r="B132" t="s">
        <v>60</v>
      </c>
      <c r="C132" s="1" t="d">
        <v>2018-03-01</v>
      </c>
      <c r="D132">
        <v>16</v>
      </c>
      <c r="E132">
        <v>83.74</v>
      </c>
      <c r="F132">
        <v>1339.84</v>
      </c>
      <c r="G132" s="2" t="s">
        <v>62</v>
      </c>
      <c r="H132" s="2" t="s">
        <v>100</v>
      </c>
      <c r="I132">
        <v>22</v>
      </c>
      <c r="J132">
        <v>9</v>
      </c>
      <c r="K132">
        <v>1</v>
      </c>
      <c r="L132">
        <f t="shared" si="4"/>
        <v>2.7725887222397811</v>
      </c>
      <c r="M132">
        <f t="shared" si="5"/>
        <v>4.4277167605909975</v>
      </c>
    </row>
    <row r="133" spans="1:13" x14ac:dyDescent="0.2">
      <c r="A133" t="s">
        <v>96</v>
      </c>
      <c r="B133" t="s">
        <v>60</v>
      </c>
      <c r="C133" s="1" t="d">
        <v>2018-04-01</v>
      </c>
      <c r="D133">
        <v>14</v>
      </c>
      <c r="E133">
        <v>79.989999999999995</v>
      </c>
      <c r="F133">
        <v>1119.8599999999999</v>
      </c>
      <c r="G133" s="2" t="s">
        <v>27</v>
      </c>
      <c r="H133" s="2" t="s">
        <v>101</v>
      </c>
      <c r="I133">
        <v>21</v>
      </c>
      <c r="J133">
        <v>9</v>
      </c>
      <c r="K133">
        <v>1</v>
      </c>
      <c r="L133">
        <f t="shared" si="4"/>
        <v>2.6390573296152584</v>
      </c>
      <c r="M133">
        <f t="shared" si="5"/>
        <v>4.3819016268607305</v>
      </c>
    </row>
    <row r="134" spans="1:13" x14ac:dyDescent="0.2">
      <c r="A134" t="s">
        <v>96</v>
      </c>
      <c r="B134" t="s">
        <v>60</v>
      </c>
      <c r="C134" s="1" t="d">
        <v>2018-05-01</v>
      </c>
      <c r="D134">
        <v>16</v>
      </c>
      <c r="E134">
        <v>79.989999999999995</v>
      </c>
      <c r="F134">
        <v>1279.8399999999999</v>
      </c>
      <c r="G134" s="2" t="s">
        <v>62</v>
      </c>
      <c r="H134" s="2" t="s">
        <v>102</v>
      </c>
      <c r="I134">
        <v>23</v>
      </c>
      <c r="J134">
        <v>8</v>
      </c>
      <c r="K134">
        <v>3</v>
      </c>
      <c r="L134">
        <f t="shared" si="4"/>
        <v>2.7725887222397811</v>
      </c>
      <c r="M134">
        <f t="shared" si="5"/>
        <v>4.3819016268607305</v>
      </c>
    </row>
    <row r="135" spans="1:13" x14ac:dyDescent="0.2">
      <c r="A135" t="s">
        <v>96</v>
      </c>
      <c r="B135" t="s">
        <v>60</v>
      </c>
      <c r="C135" s="1" t="d">
        <v>2018-06-01</v>
      </c>
      <c r="D135">
        <v>13</v>
      </c>
      <c r="E135">
        <v>79.989999999999995</v>
      </c>
      <c r="F135">
        <v>1039.8699999999999</v>
      </c>
      <c r="G135" s="2" t="s">
        <v>62</v>
      </c>
      <c r="H135" s="2" t="s">
        <v>102</v>
      </c>
      <c r="I135">
        <v>21</v>
      </c>
      <c r="J135">
        <v>9</v>
      </c>
      <c r="K135">
        <v>0</v>
      </c>
      <c r="L135">
        <f t="shared" si="4"/>
        <v>2.5649493574615367</v>
      </c>
      <c r="M135">
        <f t="shared" si="5"/>
        <v>4.3819016268607305</v>
      </c>
    </row>
    <row r="136" spans="1:13" x14ac:dyDescent="0.2">
      <c r="A136" t="s">
        <v>96</v>
      </c>
      <c r="B136" t="s">
        <v>60</v>
      </c>
      <c r="C136" s="1" t="d">
        <v>2018-07-01</v>
      </c>
      <c r="D136">
        <v>10</v>
      </c>
      <c r="E136">
        <v>79.989999999999995</v>
      </c>
      <c r="F136">
        <v>799.9</v>
      </c>
      <c r="G136" s="2" t="s">
        <v>62</v>
      </c>
      <c r="H136" s="2" t="s">
        <v>102</v>
      </c>
      <c r="I136">
        <v>22</v>
      </c>
      <c r="J136">
        <v>9</v>
      </c>
      <c r="K136">
        <v>1</v>
      </c>
      <c r="L136">
        <f t="shared" si="4"/>
        <v>2.3025850929940459</v>
      </c>
      <c r="M136">
        <f t="shared" si="5"/>
        <v>4.3819016268607305</v>
      </c>
    </row>
    <row r="137" spans="1:13" x14ac:dyDescent="0.2">
      <c r="A137" t="s">
        <v>96</v>
      </c>
      <c r="B137" t="s">
        <v>60</v>
      </c>
      <c r="C137" s="1" t="d">
        <v>2018-08-01</v>
      </c>
      <c r="D137">
        <v>7</v>
      </c>
      <c r="E137">
        <v>82.821428569999995</v>
      </c>
      <c r="F137">
        <v>579.74999998999999</v>
      </c>
      <c r="G137" s="2" t="s">
        <v>62</v>
      </c>
      <c r="H137" s="2" t="s">
        <v>103</v>
      </c>
      <c r="I137">
        <v>23</v>
      </c>
      <c r="J137">
        <v>8</v>
      </c>
      <c r="K137">
        <v>1</v>
      </c>
      <c r="L137">
        <f t="shared" si="4"/>
        <v>1.9459101490553132</v>
      </c>
      <c r="M137">
        <f t="shared" si="5"/>
        <v>4.4166868270630788</v>
      </c>
    </row>
    <row r="138" spans="1:13" x14ac:dyDescent="0.2">
      <c r="A138" t="s">
        <v>104</v>
      </c>
      <c r="B138" t="s">
        <v>25</v>
      </c>
      <c r="C138" s="1" t="d">
        <v>2017-07-01</v>
      </c>
      <c r="D138">
        <v>13</v>
      </c>
      <c r="E138">
        <v>59.9</v>
      </c>
      <c r="F138" s="2" t="s">
        <v>105</v>
      </c>
      <c r="G138" s="2" t="s">
        <v>13</v>
      </c>
      <c r="H138" s="2" t="s">
        <v>51</v>
      </c>
      <c r="I138">
        <v>21</v>
      </c>
      <c r="J138">
        <v>10</v>
      </c>
      <c r="K138">
        <v>1</v>
      </c>
      <c r="L138">
        <f t="shared" si="4"/>
        <v>2.5649493574615367</v>
      </c>
      <c r="M138">
        <f t="shared" si="5"/>
        <v>4.0926765051214034</v>
      </c>
    </row>
    <row r="139" spans="1:13" x14ac:dyDescent="0.2">
      <c r="A139" t="s">
        <v>104</v>
      </c>
      <c r="B139" t="s">
        <v>25</v>
      </c>
      <c r="C139" s="1" t="d">
        <v>2017-08-01</v>
      </c>
      <c r="D139">
        <v>23</v>
      </c>
      <c r="E139">
        <v>59.9</v>
      </c>
      <c r="F139">
        <v>1377.7</v>
      </c>
      <c r="G139" s="2" t="s">
        <v>13</v>
      </c>
      <c r="H139" s="2" t="s">
        <v>51</v>
      </c>
      <c r="I139">
        <v>23</v>
      </c>
      <c r="J139">
        <v>8</v>
      </c>
      <c r="K139">
        <v>1</v>
      </c>
      <c r="L139">
        <f t="shared" si="4"/>
        <v>3.1354942159291497</v>
      </c>
      <c r="M139">
        <f t="shared" si="5"/>
        <v>4.0926765051214034</v>
      </c>
    </row>
    <row r="140" spans="1:13" x14ac:dyDescent="0.2">
      <c r="A140" t="s">
        <v>104</v>
      </c>
      <c r="B140" t="s">
        <v>25</v>
      </c>
      <c r="C140" s="1" t="d">
        <v>2017-09-01</v>
      </c>
      <c r="D140">
        <v>13</v>
      </c>
      <c r="E140">
        <v>59.9</v>
      </c>
      <c r="F140" s="2" t="s">
        <v>105</v>
      </c>
      <c r="G140" s="2" t="s">
        <v>13</v>
      </c>
      <c r="H140" s="2" t="s">
        <v>51</v>
      </c>
      <c r="I140">
        <v>21</v>
      </c>
      <c r="J140">
        <v>9</v>
      </c>
      <c r="K140">
        <v>1</v>
      </c>
      <c r="L140">
        <f t="shared" si="4"/>
        <v>2.5649493574615367</v>
      </c>
      <c r="M140">
        <f t="shared" si="5"/>
        <v>4.0926765051214034</v>
      </c>
    </row>
    <row r="141" spans="1:13" x14ac:dyDescent="0.2">
      <c r="A141" t="s">
        <v>104</v>
      </c>
      <c r="B141" t="s">
        <v>25</v>
      </c>
      <c r="C141" s="1" t="d">
        <v>2017-10-01</v>
      </c>
      <c r="D141">
        <v>36</v>
      </c>
      <c r="E141">
        <v>59.9</v>
      </c>
      <c r="F141">
        <v>2156.4</v>
      </c>
      <c r="G141" s="2" t="s">
        <v>13</v>
      </c>
      <c r="H141" s="2" t="s">
        <v>51</v>
      </c>
      <c r="I141">
        <v>22</v>
      </c>
      <c r="J141">
        <v>9</v>
      </c>
      <c r="K141">
        <v>2</v>
      </c>
      <c r="L141">
        <f t="shared" si="4"/>
        <v>3.5835189384561099</v>
      </c>
      <c r="M141">
        <f t="shared" si="5"/>
        <v>4.0926765051214034</v>
      </c>
    </row>
    <row r="142" spans="1:13" x14ac:dyDescent="0.2">
      <c r="A142" t="s">
        <v>104</v>
      </c>
      <c r="B142" t="s">
        <v>25</v>
      </c>
      <c r="C142" s="1" t="d">
        <v>2017-11-01</v>
      </c>
      <c r="D142">
        <v>69</v>
      </c>
      <c r="E142">
        <v>53.785714290000001</v>
      </c>
      <c r="F142" s="2" t="s">
        <v>106</v>
      </c>
      <c r="G142" s="2" t="s">
        <v>13</v>
      </c>
      <c r="H142" s="2" t="s">
        <v>107</v>
      </c>
      <c r="I142">
        <v>22</v>
      </c>
      <c r="J142">
        <v>8</v>
      </c>
      <c r="K142">
        <v>4</v>
      </c>
      <c r="L142">
        <f t="shared" si="4"/>
        <v>4.2341065045972597</v>
      </c>
      <c r="M142">
        <f t="shared" si="5"/>
        <v>3.9850078982643162</v>
      </c>
    </row>
    <row r="143" spans="1:13" x14ac:dyDescent="0.2">
      <c r="A143" t="s">
        <v>104</v>
      </c>
      <c r="B143" t="s">
        <v>25</v>
      </c>
      <c r="C143" s="1" t="d">
        <v>2017-12-01</v>
      </c>
      <c r="D143">
        <v>44</v>
      </c>
      <c r="E143">
        <v>55.75</v>
      </c>
      <c r="F143">
        <v>2453</v>
      </c>
      <c r="G143" s="2" t="s">
        <v>13</v>
      </c>
      <c r="H143" s="2" t="s">
        <v>108</v>
      </c>
      <c r="I143">
        <v>21</v>
      </c>
      <c r="J143">
        <v>10</v>
      </c>
      <c r="K143">
        <v>1</v>
      </c>
      <c r="L143">
        <f t="shared" si="4"/>
        <v>3.784189633918261</v>
      </c>
      <c r="M143">
        <f t="shared" si="5"/>
        <v>4.0208774103402281</v>
      </c>
    </row>
    <row r="144" spans="1:13" x14ac:dyDescent="0.2">
      <c r="A144" t="s">
        <v>104</v>
      </c>
      <c r="B144" t="s">
        <v>25</v>
      </c>
      <c r="C144" s="1" t="d">
        <v>2018-01-01</v>
      </c>
      <c r="D144">
        <v>39</v>
      </c>
      <c r="E144">
        <v>49.9</v>
      </c>
      <c r="F144">
        <v>1946.1</v>
      </c>
      <c r="G144" s="2" t="s">
        <v>13</v>
      </c>
      <c r="H144" s="2" t="s">
        <v>54</v>
      </c>
      <c r="I144">
        <v>23</v>
      </c>
      <c r="J144">
        <v>8</v>
      </c>
      <c r="K144">
        <v>2</v>
      </c>
      <c r="L144">
        <f t="shared" si="4"/>
        <v>3.6635616461296463</v>
      </c>
      <c r="M144">
        <f t="shared" si="5"/>
        <v>3.9100210027574729</v>
      </c>
    </row>
    <row r="145" spans="1:13" x14ac:dyDescent="0.2">
      <c r="A145" t="s">
        <v>104</v>
      </c>
      <c r="B145" t="s">
        <v>25</v>
      </c>
      <c r="C145" s="1" t="d">
        <v>2018-02-01</v>
      </c>
      <c r="D145">
        <v>48</v>
      </c>
      <c r="E145">
        <v>50.357142860000003</v>
      </c>
      <c r="F145">
        <v>2417.14285728</v>
      </c>
      <c r="G145" s="2" t="s">
        <v>13</v>
      </c>
      <c r="H145" s="2" t="s">
        <v>109</v>
      </c>
      <c r="I145">
        <v>20</v>
      </c>
      <c r="J145">
        <v>8</v>
      </c>
      <c r="K145">
        <v>2</v>
      </c>
      <c r="L145">
        <f t="shared" si="4"/>
        <v>3.8712010109078911</v>
      </c>
      <c r="M145">
        <f t="shared" si="5"/>
        <v>3.9191404732537478</v>
      </c>
    </row>
    <row r="146" spans="1:13" x14ac:dyDescent="0.2">
      <c r="A146" t="s">
        <v>104</v>
      </c>
      <c r="B146" t="s">
        <v>25</v>
      </c>
      <c r="C146" s="1" t="d">
        <v>2018-03-01</v>
      </c>
      <c r="D146">
        <v>26</v>
      </c>
      <c r="E146">
        <v>53.9</v>
      </c>
      <c r="F146" s="2" t="s">
        <v>110</v>
      </c>
      <c r="G146" s="2" t="s">
        <v>13</v>
      </c>
      <c r="H146" s="2" t="s">
        <v>56</v>
      </c>
      <c r="I146">
        <v>22</v>
      </c>
      <c r="J146">
        <v>9</v>
      </c>
      <c r="K146">
        <v>1</v>
      </c>
      <c r="L146">
        <f t="shared" si="4"/>
        <v>3.2580965380214821</v>
      </c>
      <c r="M146">
        <f t="shared" si="5"/>
        <v>3.9871304779149512</v>
      </c>
    </row>
    <row r="147" spans="1:13" x14ac:dyDescent="0.2">
      <c r="A147" t="s">
        <v>104</v>
      </c>
      <c r="B147" t="s">
        <v>25</v>
      </c>
      <c r="C147" s="1" t="d">
        <v>2018-04-01</v>
      </c>
      <c r="D147">
        <v>28</v>
      </c>
      <c r="E147">
        <v>53.9</v>
      </c>
      <c r="F147">
        <v>1509.2</v>
      </c>
      <c r="G147" s="2" t="s">
        <v>13</v>
      </c>
      <c r="H147" s="2" t="s">
        <v>56</v>
      </c>
      <c r="I147">
        <v>21</v>
      </c>
      <c r="J147">
        <v>9</v>
      </c>
      <c r="K147">
        <v>1</v>
      </c>
      <c r="L147">
        <f t="shared" si="4"/>
        <v>3.3322045101752038</v>
      </c>
      <c r="M147">
        <f t="shared" si="5"/>
        <v>3.9871304779149512</v>
      </c>
    </row>
    <row r="148" spans="1:13" x14ac:dyDescent="0.2">
      <c r="A148" t="s">
        <v>104</v>
      </c>
      <c r="B148" t="s">
        <v>25</v>
      </c>
      <c r="C148" s="1" t="d">
        <v>2018-05-01</v>
      </c>
      <c r="D148">
        <v>25</v>
      </c>
      <c r="E148">
        <v>53.057894740000002</v>
      </c>
      <c r="F148">
        <v>1326.4473685</v>
      </c>
      <c r="G148" s="2" t="s">
        <v>13</v>
      </c>
      <c r="H148" s="2" t="s">
        <v>111</v>
      </c>
      <c r="I148">
        <v>23</v>
      </c>
      <c r="J148">
        <v>8</v>
      </c>
      <c r="K148">
        <v>3</v>
      </c>
      <c r="L148">
        <f t="shared" si="4"/>
        <v>3.2188758248682006</v>
      </c>
      <c r="M148">
        <f t="shared" si="5"/>
        <v>3.9713836709529735</v>
      </c>
    </row>
    <row r="149" spans="1:13" x14ac:dyDescent="0.2">
      <c r="A149" t="s">
        <v>104</v>
      </c>
      <c r="B149" t="s">
        <v>25</v>
      </c>
      <c r="C149" s="1" t="d">
        <v>2018-06-01</v>
      </c>
      <c r="D149">
        <v>15</v>
      </c>
      <c r="E149">
        <v>49.9</v>
      </c>
      <c r="F149">
        <v>748.5</v>
      </c>
      <c r="G149" s="2" t="s">
        <v>13</v>
      </c>
      <c r="H149" s="2" t="s">
        <v>54</v>
      </c>
      <c r="I149">
        <v>21</v>
      </c>
      <c r="J149">
        <v>9</v>
      </c>
      <c r="K149">
        <v>0</v>
      </c>
      <c r="L149">
        <f t="shared" si="4"/>
        <v>2.7080502011022101</v>
      </c>
      <c r="M149">
        <f t="shared" si="5"/>
        <v>3.9100210027574729</v>
      </c>
    </row>
    <row r="150" spans="1:13" x14ac:dyDescent="0.2">
      <c r="A150" t="s">
        <v>104</v>
      </c>
      <c r="B150" t="s">
        <v>25</v>
      </c>
      <c r="C150" s="1" t="d">
        <v>2018-07-01</v>
      </c>
      <c r="D150">
        <v>3</v>
      </c>
      <c r="E150">
        <v>49.9</v>
      </c>
      <c r="F150">
        <v>149.69999999999999</v>
      </c>
      <c r="G150" s="2" t="s">
        <v>13</v>
      </c>
      <c r="H150" s="2" t="s">
        <v>54</v>
      </c>
      <c r="I150">
        <v>22</v>
      </c>
      <c r="J150">
        <v>9</v>
      </c>
      <c r="K150">
        <v>1</v>
      </c>
      <c r="L150">
        <f t="shared" si="4"/>
        <v>1.0986122886681098</v>
      </c>
      <c r="M150">
        <f t="shared" si="5"/>
        <v>3.9100210027574729</v>
      </c>
    </row>
    <row r="151" spans="1:13" x14ac:dyDescent="0.2">
      <c r="A151" t="s">
        <v>104</v>
      </c>
      <c r="B151" t="s">
        <v>25</v>
      </c>
      <c r="C151" s="1" t="d">
        <v>2018-08-01</v>
      </c>
      <c r="D151">
        <v>6</v>
      </c>
      <c r="E151">
        <v>49.9</v>
      </c>
      <c r="F151">
        <v>299.39999999999998</v>
      </c>
      <c r="G151" s="2" t="s">
        <v>13</v>
      </c>
      <c r="H151" s="2" t="s">
        <v>54</v>
      </c>
      <c r="I151">
        <v>23</v>
      </c>
      <c r="J151">
        <v>8</v>
      </c>
      <c r="K151">
        <v>1</v>
      </c>
      <c r="L151">
        <f t="shared" si="4"/>
        <v>1.791759469228055</v>
      </c>
      <c r="M151">
        <f t="shared" si="5"/>
        <v>3.9100210027574729</v>
      </c>
    </row>
    <row r="152" spans="1:13" x14ac:dyDescent="0.2">
      <c r="A152" t="s">
        <v>112</v>
      </c>
      <c r="B152" t="s">
        <v>113</v>
      </c>
      <c r="C152" s="1" t="d">
        <v>2017-10-01</v>
      </c>
      <c r="D152">
        <v>1</v>
      </c>
      <c r="E152">
        <v>167</v>
      </c>
      <c r="F152">
        <v>167</v>
      </c>
      <c r="G152">
        <v>3.9</v>
      </c>
      <c r="H152" s="2" t="s">
        <v>114</v>
      </c>
      <c r="I152">
        <v>22</v>
      </c>
      <c r="J152">
        <v>9</v>
      </c>
      <c r="K152">
        <v>2</v>
      </c>
      <c r="L152">
        <f t="shared" si="4"/>
        <v>0</v>
      </c>
      <c r="M152">
        <f t="shared" si="5"/>
        <v>5.1179938124167554</v>
      </c>
    </row>
    <row r="153" spans="1:13" x14ac:dyDescent="0.2">
      <c r="A153" t="s">
        <v>112</v>
      </c>
      <c r="B153" t="s">
        <v>113</v>
      </c>
      <c r="C153" s="1" t="d">
        <v>2017-12-01</v>
      </c>
      <c r="D153">
        <v>2</v>
      </c>
      <c r="E153">
        <v>119.9</v>
      </c>
      <c r="F153">
        <v>239.8</v>
      </c>
      <c r="G153">
        <v>3.9</v>
      </c>
      <c r="H153" s="2" t="s">
        <v>115</v>
      </c>
      <c r="I153">
        <v>21</v>
      </c>
      <c r="J153">
        <v>10</v>
      </c>
      <c r="K153">
        <v>1</v>
      </c>
      <c r="L153">
        <f t="shared" si="4"/>
        <v>0.69314718055994529</v>
      </c>
      <c r="M153">
        <f t="shared" si="5"/>
        <v>4.7866580620334682</v>
      </c>
    </row>
    <row r="154" spans="1:13" x14ac:dyDescent="0.2">
      <c r="A154" t="s">
        <v>112</v>
      </c>
      <c r="B154" t="s">
        <v>113</v>
      </c>
      <c r="C154" s="1" t="d">
        <v>2018-01-01</v>
      </c>
      <c r="D154">
        <v>57</v>
      </c>
      <c r="E154">
        <v>93.094893619999993</v>
      </c>
      <c r="F154">
        <v>5306.4089363399999</v>
      </c>
      <c r="G154" s="2" t="s">
        <v>75</v>
      </c>
      <c r="H154">
        <v>22.342774468799998</v>
      </c>
      <c r="I154">
        <v>23</v>
      </c>
      <c r="J154">
        <v>8</v>
      </c>
      <c r="K154">
        <v>2</v>
      </c>
      <c r="L154">
        <f t="shared" si="4"/>
        <v>4.0430512678345503</v>
      </c>
      <c r="M154">
        <f t="shared" si="5"/>
        <v>4.5336193344436726</v>
      </c>
    </row>
    <row r="155" spans="1:13" x14ac:dyDescent="0.2">
      <c r="A155" t="s">
        <v>112</v>
      </c>
      <c r="B155" t="s">
        <v>113</v>
      </c>
      <c r="C155" s="1" t="d">
        <v>2018-02-01</v>
      </c>
      <c r="D155">
        <v>45</v>
      </c>
      <c r="E155">
        <v>77.155000000000001</v>
      </c>
      <c r="F155">
        <v>3471.9749999999999</v>
      </c>
      <c r="G155" s="2" t="s">
        <v>75</v>
      </c>
      <c r="H155">
        <v>18.517199999999999</v>
      </c>
      <c r="I155">
        <v>20</v>
      </c>
      <c r="J155">
        <v>8</v>
      </c>
      <c r="K155">
        <v>2</v>
      </c>
      <c r="L155">
        <f t="shared" si="4"/>
        <v>3.8066624897703196</v>
      </c>
      <c r="M155">
        <f t="shared" si="5"/>
        <v>4.3458163855231682</v>
      </c>
    </row>
    <row r="156" spans="1:13" x14ac:dyDescent="0.2">
      <c r="A156" t="s">
        <v>112</v>
      </c>
      <c r="B156" t="s">
        <v>113</v>
      </c>
      <c r="C156" s="1" t="d">
        <v>2018-03-01</v>
      </c>
      <c r="D156">
        <v>6</v>
      </c>
      <c r="E156">
        <v>88</v>
      </c>
      <c r="F156">
        <v>528</v>
      </c>
      <c r="G156" s="2" t="s">
        <v>75</v>
      </c>
      <c r="H156" s="2" t="s">
        <v>116</v>
      </c>
      <c r="I156">
        <v>22</v>
      </c>
      <c r="J156">
        <v>9</v>
      </c>
      <c r="K156">
        <v>1</v>
      </c>
      <c r="L156">
        <f t="shared" si="4"/>
        <v>1.791759469228055</v>
      </c>
      <c r="M156">
        <f t="shared" si="5"/>
        <v>4.4773368144782069</v>
      </c>
    </row>
    <row r="157" spans="1:13" x14ac:dyDescent="0.2">
      <c r="A157" t="s">
        <v>112</v>
      </c>
      <c r="B157" t="s">
        <v>113</v>
      </c>
      <c r="C157" s="1" t="d">
        <v>2018-04-01</v>
      </c>
      <c r="D157">
        <v>10</v>
      </c>
      <c r="E157">
        <v>88</v>
      </c>
      <c r="F157">
        <v>880</v>
      </c>
      <c r="G157" s="2" t="s">
        <v>75</v>
      </c>
      <c r="H157" s="2" t="s">
        <v>116</v>
      </c>
      <c r="I157">
        <v>21</v>
      </c>
      <c r="J157">
        <v>9</v>
      </c>
      <c r="K157">
        <v>1</v>
      </c>
      <c r="L157">
        <f t="shared" si="4"/>
        <v>2.3025850929940459</v>
      </c>
      <c r="M157">
        <f t="shared" si="5"/>
        <v>4.4773368144782069</v>
      </c>
    </row>
    <row r="158" spans="1:13" x14ac:dyDescent="0.2">
      <c r="A158" t="s">
        <v>112</v>
      </c>
      <c r="B158" t="s">
        <v>113</v>
      </c>
      <c r="C158" s="1" t="d">
        <v>2018-06-01</v>
      </c>
      <c r="D158">
        <v>3</v>
      </c>
      <c r="E158">
        <v>89.9</v>
      </c>
      <c r="F158" s="2" t="s">
        <v>117</v>
      </c>
      <c r="G158" s="2" t="s">
        <v>75</v>
      </c>
      <c r="H158">
        <v>21.576000000000001</v>
      </c>
      <c r="I158">
        <v>21</v>
      </c>
      <c r="J158">
        <v>9</v>
      </c>
      <c r="K158">
        <v>0</v>
      </c>
      <c r="L158">
        <f t="shared" si="4"/>
        <v>1.0986122886681098</v>
      </c>
      <c r="M158">
        <f t="shared" si="5"/>
        <v>4.498697941477575</v>
      </c>
    </row>
    <row r="159" spans="1:13" x14ac:dyDescent="0.2">
      <c r="A159" t="s">
        <v>112</v>
      </c>
      <c r="B159" t="s">
        <v>113</v>
      </c>
      <c r="C159" s="1" t="d">
        <v>2018-07-01</v>
      </c>
      <c r="D159">
        <v>3</v>
      </c>
      <c r="E159">
        <v>78.900000000000006</v>
      </c>
      <c r="F159" s="2" t="s">
        <v>118</v>
      </c>
      <c r="G159" s="2" t="s">
        <v>75</v>
      </c>
      <c r="H159">
        <v>18.936</v>
      </c>
      <c r="I159">
        <v>22</v>
      </c>
      <c r="J159">
        <v>9</v>
      </c>
      <c r="K159">
        <v>1</v>
      </c>
      <c r="L159">
        <f t="shared" si="4"/>
        <v>1.0986122886681098</v>
      </c>
      <c r="M159">
        <f t="shared" si="5"/>
        <v>4.3681812278518288</v>
      </c>
    </row>
    <row r="160" spans="1:13" x14ac:dyDescent="0.2">
      <c r="A160" t="s">
        <v>119</v>
      </c>
      <c r="B160" t="s">
        <v>25</v>
      </c>
      <c r="C160" s="1" t="d">
        <v>2017-05-01</v>
      </c>
      <c r="D160">
        <v>3</v>
      </c>
      <c r="E160">
        <v>59.9</v>
      </c>
      <c r="F160">
        <v>179.7</v>
      </c>
      <c r="G160" s="2" t="s">
        <v>13</v>
      </c>
      <c r="H160" s="2" t="s">
        <v>51</v>
      </c>
      <c r="I160">
        <v>23</v>
      </c>
      <c r="J160">
        <v>8</v>
      </c>
      <c r="K160">
        <v>1</v>
      </c>
      <c r="L160">
        <f t="shared" si="4"/>
        <v>1.0986122886681098</v>
      </c>
      <c r="M160">
        <f t="shared" si="5"/>
        <v>4.0926765051214034</v>
      </c>
    </row>
    <row r="161" spans="1:13" x14ac:dyDescent="0.2">
      <c r="A161" t="s">
        <v>119</v>
      </c>
      <c r="B161" t="s">
        <v>25</v>
      </c>
      <c r="C161" s="1" t="d">
        <v>2017-06-01</v>
      </c>
      <c r="D161">
        <v>3</v>
      </c>
      <c r="E161">
        <v>59.9</v>
      </c>
      <c r="F161">
        <v>179.7</v>
      </c>
      <c r="G161" s="2" t="s">
        <v>13</v>
      </c>
      <c r="H161" s="2" t="s">
        <v>51</v>
      </c>
      <c r="I161">
        <v>22</v>
      </c>
      <c r="J161">
        <v>8</v>
      </c>
      <c r="K161">
        <v>1</v>
      </c>
      <c r="L161">
        <f t="shared" si="4"/>
        <v>1.0986122886681098</v>
      </c>
      <c r="M161">
        <f t="shared" si="5"/>
        <v>4.0926765051214034</v>
      </c>
    </row>
    <row r="162" spans="1:13" x14ac:dyDescent="0.2">
      <c r="A162" t="s">
        <v>119</v>
      </c>
      <c r="B162" t="s">
        <v>25</v>
      </c>
      <c r="C162" s="1" t="d">
        <v>2017-07-01</v>
      </c>
      <c r="D162">
        <v>19</v>
      </c>
      <c r="E162">
        <v>59.9</v>
      </c>
      <c r="F162">
        <v>1138.0999999999999</v>
      </c>
      <c r="G162" s="2" t="s">
        <v>13</v>
      </c>
      <c r="H162" s="2" t="s">
        <v>51</v>
      </c>
      <c r="I162">
        <v>21</v>
      </c>
      <c r="J162">
        <v>10</v>
      </c>
      <c r="K162">
        <v>1</v>
      </c>
      <c r="L162">
        <f t="shared" si="4"/>
        <v>2.9444389791664403</v>
      </c>
      <c r="M162">
        <f t="shared" si="5"/>
        <v>4.0926765051214034</v>
      </c>
    </row>
    <row r="163" spans="1:13" x14ac:dyDescent="0.2">
      <c r="A163" t="s">
        <v>119</v>
      </c>
      <c r="B163" t="s">
        <v>25</v>
      </c>
      <c r="C163" s="1" t="d">
        <v>2017-08-01</v>
      </c>
      <c r="D163">
        <v>27</v>
      </c>
      <c r="E163">
        <v>59.9</v>
      </c>
      <c r="F163">
        <v>1617.3</v>
      </c>
      <c r="G163" s="2" t="s">
        <v>13</v>
      </c>
      <c r="H163" s="2" t="s">
        <v>51</v>
      </c>
      <c r="I163">
        <v>23</v>
      </c>
      <c r="J163">
        <v>8</v>
      </c>
      <c r="K163">
        <v>1</v>
      </c>
      <c r="L163">
        <f t="shared" si="4"/>
        <v>3.2958368660043291</v>
      </c>
      <c r="M163">
        <f t="shared" si="5"/>
        <v>4.0926765051214034</v>
      </c>
    </row>
    <row r="164" spans="1:13" x14ac:dyDescent="0.2">
      <c r="A164" t="s">
        <v>119</v>
      </c>
      <c r="B164" t="s">
        <v>25</v>
      </c>
      <c r="C164" s="1" t="d">
        <v>2017-09-01</v>
      </c>
      <c r="D164">
        <v>17</v>
      </c>
      <c r="E164">
        <v>59.9</v>
      </c>
      <c r="F164">
        <v>1018.3</v>
      </c>
      <c r="G164" s="2" t="s">
        <v>13</v>
      </c>
      <c r="H164" s="2" t="s">
        <v>51</v>
      </c>
      <c r="I164">
        <v>21</v>
      </c>
      <c r="J164">
        <v>9</v>
      </c>
      <c r="K164">
        <v>1</v>
      </c>
      <c r="L164">
        <f t="shared" si="4"/>
        <v>2.8332133440562162</v>
      </c>
      <c r="M164">
        <f t="shared" si="5"/>
        <v>4.0926765051214034</v>
      </c>
    </row>
    <row r="165" spans="1:13" x14ac:dyDescent="0.2">
      <c r="A165" t="s">
        <v>119</v>
      </c>
      <c r="B165" t="s">
        <v>25</v>
      </c>
      <c r="C165" s="1" t="d">
        <v>2017-10-01</v>
      </c>
      <c r="D165">
        <v>31</v>
      </c>
      <c r="E165">
        <v>59.9</v>
      </c>
      <c r="F165" s="2" t="s">
        <v>120</v>
      </c>
      <c r="G165" s="2" t="s">
        <v>13</v>
      </c>
      <c r="H165" s="2" t="s">
        <v>51</v>
      </c>
      <c r="I165">
        <v>22</v>
      </c>
      <c r="J165">
        <v>9</v>
      </c>
      <c r="K165">
        <v>2</v>
      </c>
      <c r="L165">
        <f t="shared" si="4"/>
        <v>3.4339872044851463</v>
      </c>
      <c r="M165">
        <f t="shared" si="5"/>
        <v>4.0926765051214034</v>
      </c>
    </row>
    <row r="166" spans="1:13" x14ac:dyDescent="0.2">
      <c r="A166" t="s">
        <v>119</v>
      </c>
      <c r="B166" t="s">
        <v>25</v>
      </c>
      <c r="C166" s="1" t="d">
        <v>2017-11-01</v>
      </c>
      <c r="D166">
        <v>87</v>
      </c>
      <c r="E166">
        <v>53.648281249999997</v>
      </c>
      <c r="F166">
        <v>4667.4004687500001</v>
      </c>
      <c r="G166" s="2" t="s">
        <v>13</v>
      </c>
      <c r="H166" s="2" t="s">
        <v>121</v>
      </c>
      <c r="I166">
        <v>22</v>
      </c>
      <c r="J166">
        <v>8</v>
      </c>
      <c r="K166">
        <v>4</v>
      </c>
      <c r="L166">
        <f t="shared" si="4"/>
        <v>4.4659081186545837</v>
      </c>
      <c r="M166">
        <f t="shared" si="5"/>
        <v>3.9824494322168413</v>
      </c>
    </row>
    <row r="167" spans="1:13" x14ac:dyDescent="0.2">
      <c r="A167" t="s">
        <v>119</v>
      </c>
      <c r="B167" t="s">
        <v>25</v>
      </c>
      <c r="C167" s="1" t="d">
        <v>2017-12-01</v>
      </c>
      <c r="D167">
        <v>32</v>
      </c>
      <c r="E167">
        <v>55.424999999999997</v>
      </c>
      <c r="F167">
        <v>1773.6</v>
      </c>
      <c r="G167" s="2" t="s">
        <v>13</v>
      </c>
      <c r="H167" s="2" t="s">
        <v>122</v>
      </c>
      <c r="I167">
        <v>21</v>
      </c>
      <c r="J167">
        <v>10</v>
      </c>
      <c r="K167">
        <v>1</v>
      </c>
      <c r="L167">
        <f t="shared" si="4"/>
        <v>3.4657359027997265</v>
      </c>
      <c r="M167">
        <f t="shared" si="5"/>
        <v>4.0150307555023748</v>
      </c>
    </row>
    <row r="168" spans="1:13" x14ac:dyDescent="0.2">
      <c r="A168" t="s">
        <v>119</v>
      </c>
      <c r="B168" t="s">
        <v>25</v>
      </c>
      <c r="C168" s="1" t="d">
        <v>2018-01-01</v>
      </c>
      <c r="D168">
        <v>29</v>
      </c>
      <c r="E168">
        <v>49.9</v>
      </c>
      <c r="F168">
        <v>1447.1</v>
      </c>
      <c r="G168" s="2" t="s">
        <v>13</v>
      </c>
      <c r="H168" s="2" t="s">
        <v>54</v>
      </c>
      <c r="I168">
        <v>23</v>
      </c>
      <c r="J168">
        <v>8</v>
      </c>
      <c r="K168">
        <v>2</v>
      </c>
      <c r="L168">
        <f t="shared" si="4"/>
        <v>3.3672958299864741</v>
      </c>
      <c r="M168">
        <f t="shared" si="5"/>
        <v>3.9100210027574729</v>
      </c>
    </row>
    <row r="169" spans="1:13" x14ac:dyDescent="0.2">
      <c r="A169" t="s">
        <v>119</v>
      </c>
      <c r="B169" t="s">
        <v>25</v>
      </c>
      <c r="C169" s="1" t="d">
        <v>2018-02-01</v>
      </c>
      <c r="D169">
        <v>36</v>
      </c>
      <c r="E169">
        <v>50.9</v>
      </c>
      <c r="F169" s="2" t="s">
        <v>123</v>
      </c>
      <c r="G169" s="2" t="s">
        <v>13</v>
      </c>
      <c r="H169" s="2" t="s">
        <v>124</v>
      </c>
      <c r="I169">
        <v>20</v>
      </c>
      <c r="J169">
        <v>8</v>
      </c>
      <c r="K169">
        <v>2</v>
      </c>
      <c r="L169">
        <f t="shared" si="4"/>
        <v>3.5835189384561099</v>
      </c>
      <c r="M169">
        <f t="shared" si="5"/>
        <v>3.929862923556477</v>
      </c>
    </row>
    <row r="170" spans="1:13" x14ac:dyDescent="0.2">
      <c r="A170" t="s">
        <v>119</v>
      </c>
      <c r="B170" t="s">
        <v>25</v>
      </c>
      <c r="C170" s="1" t="d">
        <v>2018-03-01</v>
      </c>
      <c r="D170">
        <v>35</v>
      </c>
      <c r="E170">
        <v>53.9</v>
      </c>
      <c r="F170">
        <v>1886.5</v>
      </c>
      <c r="G170" s="2" t="s">
        <v>13</v>
      </c>
      <c r="H170" s="2" t="s">
        <v>56</v>
      </c>
      <c r="I170">
        <v>22</v>
      </c>
      <c r="J170">
        <v>9</v>
      </c>
      <c r="K170">
        <v>1</v>
      </c>
      <c r="L170">
        <f t="shared" si="4"/>
        <v>3.5553480614894135</v>
      </c>
      <c r="M170">
        <f t="shared" si="5"/>
        <v>3.9871304779149512</v>
      </c>
    </row>
    <row r="171" spans="1:13" x14ac:dyDescent="0.2">
      <c r="A171" t="s">
        <v>119</v>
      </c>
      <c r="B171" t="s">
        <v>25</v>
      </c>
      <c r="C171" s="1" t="d">
        <v>2018-04-01</v>
      </c>
      <c r="D171">
        <v>13</v>
      </c>
      <c r="E171">
        <v>53.9</v>
      </c>
      <c r="F171" s="2" t="s">
        <v>125</v>
      </c>
      <c r="G171" s="2" t="s">
        <v>13</v>
      </c>
      <c r="H171" s="2" t="s">
        <v>56</v>
      </c>
      <c r="I171">
        <v>21</v>
      </c>
      <c r="J171">
        <v>9</v>
      </c>
      <c r="K171">
        <v>1</v>
      </c>
      <c r="L171">
        <f t="shared" si="4"/>
        <v>2.5649493574615367</v>
      </c>
      <c r="M171">
        <f t="shared" si="5"/>
        <v>3.9871304779149512</v>
      </c>
    </row>
    <row r="172" spans="1:13" x14ac:dyDescent="0.2">
      <c r="A172" t="s">
        <v>119</v>
      </c>
      <c r="B172" t="s">
        <v>25</v>
      </c>
      <c r="C172" s="1" t="d">
        <v>2018-05-01</v>
      </c>
      <c r="D172">
        <v>29</v>
      </c>
      <c r="E172">
        <v>53.70952381</v>
      </c>
      <c r="F172">
        <v>1557.57619049</v>
      </c>
      <c r="G172" s="2" t="s">
        <v>13</v>
      </c>
      <c r="H172" s="2" t="s">
        <v>126</v>
      </c>
      <c r="I172">
        <v>23</v>
      </c>
      <c r="J172">
        <v>8</v>
      </c>
      <c r="K172">
        <v>3</v>
      </c>
      <c r="L172">
        <f t="shared" si="4"/>
        <v>3.3672958299864741</v>
      </c>
      <c r="M172">
        <f t="shared" si="5"/>
        <v>3.983590337931314</v>
      </c>
    </row>
    <row r="173" spans="1:13" x14ac:dyDescent="0.2">
      <c r="A173" t="s">
        <v>119</v>
      </c>
      <c r="B173" t="s">
        <v>25</v>
      </c>
      <c r="C173" s="1" t="d">
        <v>2018-06-01</v>
      </c>
      <c r="D173">
        <v>6</v>
      </c>
      <c r="E173">
        <v>49.9</v>
      </c>
      <c r="F173">
        <v>299.39999999999998</v>
      </c>
      <c r="G173" s="2" t="s">
        <v>13</v>
      </c>
      <c r="H173" s="2" t="s">
        <v>54</v>
      </c>
      <c r="I173">
        <v>21</v>
      </c>
      <c r="J173">
        <v>9</v>
      </c>
      <c r="K173">
        <v>0</v>
      </c>
      <c r="L173">
        <f t="shared" si="4"/>
        <v>1.791759469228055</v>
      </c>
      <c r="M173">
        <f t="shared" si="5"/>
        <v>3.9100210027574729</v>
      </c>
    </row>
    <row r="174" spans="1:13" x14ac:dyDescent="0.2">
      <c r="A174" t="s">
        <v>119</v>
      </c>
      <c r="B174" t="s">
        <v>25</v>
      </c>
      <c r="C174" s="1" t="d">
        <v>2018-07-01</v>
      </c>
      <c r="D174">
        <v>14</v>
      </c>
      <c r="E174">
        <v>49.9</v>
      </c>
      <c r="F174">
        <v>698.6</v>
      </c>
      <c r="G174" s="2" t="s">
        <v>13</v>
      </c>
      <c r="H174" s="2" t="s">
        <v>54</v>
      </c>
      <c r="I174">
        <v>22</v>
      </c>
      <c r="J174">
        <v>9</v>
      </c>
      <c r="K174">
        <v>1</v>
      </c>
      <c r="L174">
        <f t="shared" si="4"/>
        <v>2.6390573296152584</v>
      </c>
      <c r="M174">
        <f t="shared" si="5"/>
        <v>3.9100210027574729</v>
      </c>
    </row>
    <row r="175" spans="1:13" x14ac:dyDescent="0.2">
      <c r="A175" t="s">
        <v>119</v>
      </c>
      <c r="B175" t="s">
        <v>25</v>
      </c>
      <c r="C175" s="1" t="d">
        <v>2018-08-01</v>
      </c>
      <c r="D175">
        <v>10</v>
      </c>
      <c r="E175">
        <v>49.9</v>
      </c>
      <c r="F175">
        <v>499</v>
      </c>
      <c r="G175" s="2" t="s">
        <v>13</v>
      </c>
      <c r="H175" s="2" t="s">
        <v>54</v>
      </c>
      <c r="I175">
        <v>23</v>
      </c>
      <c r="J175">
        <v>8</v>
      </c>
      <c r="K175">
        <v>1</v>
      </c>
      <c r="L175">
        <f t="shared" si="4"/>
        <v>2.3025850929940459</v>
      </c>
      <c r="M175">
        <f t="shared" si="5"/>
        <v>3.9100210027574729</v>
      </c>
    </row>
    <row r="176" spans="1:13" x14ac:dyDescent="0.2">
      <c r="A176" t="s">
        <v>127</v>
      </c>
      <c r="B176" t="s">
        <v>113</v>
      </c>
      <c r="C176" s="1" t="d">
        <v>2018-01-01</v>
      </c>
      <c r="D176">
        <v>22</v>
      </c>
      <c r="E176">
        <v>150.3545455</v>
      </c>
      <c r="F176">
        <v>3307.8000010000001</v>
      </c>
      <c r="G176" s="2" t="s">
        <v>75</v>
      </c>
      <c r="H176">
        <v>36.085090919999999</v>
      </c>
      <c r="I176">
        <v>23</v>
      </c>
      <c r="J176">
        <v>8</v>
      </c>
      <c r="K176">
        <v>2</v>
      </c>
      <c r="L176">
        <f t="shared" si="4"/>
        <v>3.0910424533583161</v>
      </c>
      <c r="M176">
        <f t="shared" si="5"/>
        <v>5.0129961417676929</v>
      </c>
    </row>
    <row r="177" spans="1:13" x14ac:dyDescent="0.2">
      <c r="A177" t="s">
        <v>127</v>
      </c>
      <c r="B177" t="s">
        <v>113</v>
      </c>
      <c r="C177" s="1" t="d">
        <v>2018-02-01</v>
      </c>
      <c r="D177">
        <v>69</v>
      </c>
      <c r="E177">
        <v>149.9</v>
      </c>
      <c r="F177">
        <v>10343.1</v>
      </c>
      <c r="G177" s="2" t="s">
        <v>75</v>
      </c>
      <c r="H177">
        <v>35.975999999999999</v>
      </c>
      <c r="I177">
        <v>20</v>
      </c>
      <c r="J177">
        <v>8</v>
      </c>
      <c r="K177">
        <v>2</v>
      </c>
      <c r="L177">
        <f t="shared" si="4"/>
        <v>4.2341065045972597</v>
      </c>
      <c r="M177">
        <f t="shared" si="5"/>
        <v>5.0099684051085518</v>
      </c>
    </row>
    <row r="178" spans="1:13" x14ac:dyDescent="0.2">
      <c r="A178" t="s">
        <v>127</v>
      </c>
      <c r="B178" t="s">
        <v>113</v>
      </c>
      <c r="C178" s="1" t="d">
        <v>2018-03-01</v>
      </c>
      <c r="D178">
        <v>51</v>
      </c>
      <c r="E178">
        <v>149.9</v>
      </c>
      <c r="F178" s="2" t="s">
        <v>128</v>
      </c>
      <c r="G178" s="2" t="s">
        <v>75</v>
      </c>
      <c r="H178">
        <v>35.975999999999999</v>
      </c>
      <c r="I178">
        <v>22</v>
      </c>
      <c r="J178">
        <v>9</v>
      </c>
      <c r="K178">
        <v>1</v>
      </c>
      <c r="L178">
        <f t="shared" si="4"/>
        <v>3.9318256327243257</v>
      </c>
      <c r="M178">
        <f t="shared" si="5"/>
        <v>5.0099684051085518</v>
      </c>
    </row>
    <row r="179" spans="1:13" x14ac:dyDescent="0.2">
      <c r="A179" t="s">
        <v>127</v>
      </c>
      <c r="B179" t="s">
        <v>113</v>
      </c>
      <c r="C179" s="1" t="d">
        <v>2018-04-01</v>
      </c>
      <c r="D179">
        <v>35</v>
      </c>
      <c r="E179">
        <v>149.9</v>
      </c>
      <c r="F179">
        <v>5246.5</v>
      </c>
      <c r="G179" s="2" t="s">
        <v>75</v>
      </c>
      <c r="H179">
        <v>35.975999999999999</v>
      </c>
      <c r="I179">
        <v>21</v>
      </c>
      <c r="J179">
        <v>9</v>
      </c>
      <c r="K179">
        <v>1</v>
      </c>
      <c r="L179">
        <f t="shared" si="4"/>
        <v>3.5553480614894135</v>
      </c>
      <c r="M179">
        <f t="shared" si="5"/>
        <v>5.0099684051085518</v>
      </c>
    </row>
    <row r="180" spans="1:13" x14ac:dyDescent="0.2">
      <c r="A180" t="s">
        <v>127</v>
      </c>
      <c r="B180" t="s">
        <v>113</v>
      </c>
      <c r="C180" s="1" t="d">
        <v>2018-05-01</v>
      </c>
      <c r="D180">
        <v>52</v>
      </c>
      <c r="E180">
        <v>149.9</v>
      </c>
      <c r="F180">
        <v>7794.8</v>
      </c>
      <c r="G180" s="2" t="s">
        <v>75</v>
      </c>
      <c r="H180">
        <v>35.975999999999999</v>
      </c>
      <c r="I180">
        <v>23</v>
      </c>
      <c r="J180">
        <v>8</v>
      </c>
      <c r="K180">
        <v>3</v>
      </c>
      <c r="L180">
        <f t="shared" si="4"/>
        <v>3.9512437185814275</v>
      </c>
      <c r="M180">
        <f t="shared" si="5"/>
        <v>5.0099684051085518</v>
      </c>
    </row>
    <row r="181" spans="1:13" x14ac:dyDescent="0.2">
      <c r="A181" t="s">
        <v>127</v>
      </c>
      <c r="B181" t="s">
        <v>113</v>
      </c>
      <c r="C181" s="1" t="d">
        <v>2018-06-01</v>
      </c>
      <c r="D181">
        <v>27</v>
      </c>
      <c r="E181">
        <v>149.9</v>
      </c>
      <c r="F181">
        <v>4047.3</v>
      </c>
      <c r="G181" s="2" t="s">
        <v>75</v>
      </c>
      <c r="H181">
        <v>35.975999999999999</v>
      </c>
      <c r="I181">
        <v>21</v>
      </c>
      <c r="J181">
        <v>9</v>
      </c>
      <c r="K181">
        <v>0</v>
      </c>
      <c r="L181">
        <f t="shared" si="4"/>
        <v>3.2958368660043291</v>
      </c>
      <c r="M181">
        <f t="shared" si="5"/>
        <v>5.0099684051085518</v>
      </c>
    </row>
    <row r="182" spans="1:13" x14ac:dyDescent="0.2">
      <c r="A182" t="s">
        <v>127</v>
      </c>
      <c r="B182" t="s">
        <v>113</v>
      </c>
      <c r="C182" s="1" t="d">
        <v>2018-07-01</v>
      </c>
      <c r="D182">
        <v>13</v>
      </c>
      <c r="E182">
        <v>149.9</v>
      </c>
      <c r="F182">
        <v>1948.7</v>
      </c>
      <c r="G182" s="2" t="s">
        <v>75</v>
      </c>
      <c r="H182">
        <v>35.975999999999999</v>
      </c>
      <c r="I182">
        <v>22</v>
      </c>
      <c r="J182">
        <v>9</v>
      </c>
      <c r="K182">
        <v>1</v>
      </c>
      <c r="L182">
        <f t="shared" si="4"/>
        <v>2.5649493574615367</v>
      </c>
      <c r="M182">
        <f t="shared" si="5"/>
        <v>5.0099684051085518</v>
      </c>
    </row>
    <row r="183" spans="1:13" x14ac:dyDescent="0.2">
      <c r="A183" t="s">
        <v>127</v>
      </c>
      <c r="B183" t="s">
        <v>113</v>
      </c>
      <c r="C183" s="1" t="d">
        <v>2018-08-01</v>
      </c>
      <c r="D183">
        <v>5</v>
      </c>
      <c r="E183">
        <v>149.9</v>
      </c>
      <c r="F183">
        <v>749.5</v>
      </c>
      <c r="G183" s="2" t="s">
        <v>75</v>
      </c>
      <c r="H183">
        <v>35.975999999999999</v>
      </c>
      <c r="I183">
        <v>23</v>
      </c>
      <c r="J183">
        <v>8</v>
      </c>
      <c r="K183">
        <v>1</v>
      </c>
      <c r="L183">
        <f t="shared" si="4"/>
        <v>1.6094379124341003</v>
      </c>
      <c r="M183">
        <f t="shared" si="5"/>
        <v>5.0099684051085518</v>
      </c>
    </row>
    <row r="184" spans="1:13" x14ac:dyDescent="0.2">
      <c r="A184" t="s">
        <v>129</v>
      </c>
      <c r="B184" t="s">
        <v>60</v>
      </c>
      <c r="C184" s="1" t="d">
        <v>2018-01-01</v>
      </c>
      <c r="D184">
        <v>3</v>
      </c>
      <c r="E184">
        <v>61.99</v>
      </c>
      <c r="F184">
        <v>185.97</v>
      </c>
      <c r="G184" s="2" t="s">
        <v>62</v>
      </c>
      <c r="H184" s="2" t="s">
        <v>130</v>
      </c>
      <c r="I184">
        <v>23</v>
      </c>
      <c r="J184">
        <v>8</v>
      </c>
      <c r="K184">
        <v>2</v>
      </c>
      <c r="L184">
        <f t="shared" si="4"/>
        <v>1.0986122886681098</v>
      </c>
      <c r="M184">
        <f t="shared" si="5"/>
        <v>4.1269730817138282</v>
      </c>
    </row>
    <row r="185" spans="1:13" x14ac:dyDescent="0.2">
      <c r="A185" t="s">
        <v>129</v>
      </c>
      <c r="B185" t="s">
        <v>60</v>
      </c>
      <c r="C185" s="1" t="d">
        <v>2018-03-01</v>
      </c>
      <c r="D185">
        <v>13</v>
      </c>
      <c r="E185">
        <v>61.99</v>
      </c>
      <c r="F185">
        <v>805.87</v>
      </c>
      <c r="G185" s="2" t="s">
        <v>62</v>
      </c>
      <c r="H185" s="2" t="s">
        <v>130</v>
      </c>
      <c r="I185">
        <v>22</v>
      </c>
      <c r="J185">
        <v>9</v>
      </c>
      <c r="K185">
        <v>1</v>
      </c>
      <c r="L185">
        <f t="shared" si="4"/>
        <v>2.5649493574615367</v>
      </c>
      <c r="M185">
        <f t="shared" si="5"/>
        <v>4.1269730817138282</v>
      </c>
    </row>
    <row r="186" spans="1:13" x14ac:dyDescent="0.2">
      <c r="A186" t="s">
        <v>129</v>
      </c>
      <c r="B186" t="s">
        <v>60</v>
      </c>
      <c r="C186" s="1" t="d">
        <v>2018-04-01</v>
      </c>
      <c r="D186">
        <v>15</v>
      </c>
      <c r="E186">
        <v>64.989999999999995</v>
      </c>
      <c r="F186" s="2" t="s">
        <v>131</v>
      </c>
      <c r="G186">
        <v>4</v>
      </c>
      <c r="H186">
        <v>16.247499999999999</v>
      </c>
      <c r="I186">
        <v>21</v>
      </c>
      <c r="J186">
        <v>9</v>
      </c>
      <c r="K186">
        <v>1</v>
      </c>
      <c r="L186">
        <f t="shared" si="4"/>
        <v>2.7080502011022101</v>
      </c>
      <c r="M186">
        <f t="shared" si="5"/>
        <v>4.1742334119062576</v>
      </c>
    </row>
    <row r="187" spans="1:13" x14ac:dyDescent="0.2">
      <c r="A187" t="s">
        <v>129</v>
      </c>
      <c r="B187" t="s">
        <v>60</v>
      </c>
      <c r="C187" s="1" t="d">
        <v>2018-05-01</v>
      </c>
      <c r="D187">
        <v>38</v>
      </c>
      <c r="E187">
        <v>64.989999999999995</v>
      </c>
      <c r="F187">
        <v>2469.62</v>
      </c>
      <c r="G187" s="2" t="s">
        <v>62</v>
      </c>
      <c r="H187" s="2" t="s">
        <v>132</v>
      </c>
      <c r="I187">
        <v>23</v>
      </c>
      <c r="J187">
        <v>8</v>
      </c>
      <c r="K187">
        <v>3</v>
      </c>
      <c r="L187">
        <f t="shared" si="4"/>
        <v>3.6375861597263857</v>
      </c>
      <c r="M187">
        <f t="shared" si="5"/>
        <v>4.1742334119062576</v>
      </c>
    </row>
    <row r="188" spans="1:13" x14ac:dyDescent="0.2">
      <c r="A188" t="s">
        <v>129</v>
      </c>
      <c r="B188" t="s">
        <v>60</v>
      </c>
      <c r="C188" s="1" t="d">
        <v>2018-06-01</v>
      </c>
      <c r="D188">
        <v>26</v>
      </c>
      <c r="E188">
        <v>66.989999999999995</v>
      </c>
      <c r="F188" s="2" t="s">
        <v>133</v>
      </c>
      <c r="G188" s="2" t="s">
        <v>62</v>
      </c>
      <c r="H188" s="2" t="s">
        <v>134</v>
      </c>
      <c r="I188">
        <v>21</v>
      </c>
      <c r="J188">
        <v>9</v>
      </c>
      <c r="K188">
        <v>0</v>
      </c>
      <c r="L188">
        <f t="shared" si="4"/>
        <v>3.2580965380214821</v>
      </c>
      <c r="M188">
        <f t="shared" si="5"/>
        <v>4.204543354520176</v>
      </c>
    </row>
    <row r="189" spans="1:13" x14ac:dyDescent="0.2">
      <c r="A189" t="s">
        <v>129</v>
      </c>
      <c r="B189" t="s">
        <v>60</v>
      </c>
      <c r="C189" s="1" t="d">
        <v>2018-07-01</v>
      </c>
      <c r="D189">
        <v>27</v>
      </c>
      <c r="E189">
        <v>66.989999999999995</v>
      </c>
      <c r="F189" s="2" t="s">
        <v>135</v>
      </c>
      <c r="G189" s="2" t="s">
        <v>62</v>
      </c>
      <c r="H189" s="2" t="s">
        <v>134</v>
      </c>
      <c r="I189">
        <v>22</v>
      </c>
      <c r="J189">
        <v>9</v>
      </c>
      <c r="K189">
        <v>1</v>
      </c>
      <c r="L189">
        <f t="shared" si="4"/>
        <v>3.2958368660043291</v>
      </c>
      <c r="M189">
        <f t="shared" si="5"/>
        <v>4.204543354520176</v>
      </c>
    </row>
    <row r="190" spans="1:13" x14ac:dyDescent="0.2">
      <c r="A190" t="s">
        <v>129</v>
      </c>
      <c r="B190" t="s">
        <v>60</v>
      </c>
      <c r="C190" s="1" t="d">
        <v>2018-08-01</v>
      </c>
      <c r="D190">
        <v>28</v>
      </c>
      <c r="E190">
        <v>66.989999999999995</v>
      </c>
      <c r="F190" s="2" t="s">
        <v>136</v>
      </c>
      <c r="G190" s="2" t="s">
        <v>62</v>
      </c>
      <c r="H190" s="2" t="s">
        <v>134</v>
      </c>
      <c r="I190">
        <v>23</v>
      </c>
      <c r="J190">
        <v>8</v>
      </c>
      <c r="K190">
        <v>1</v>
      </c>
      <c r="L190">
        <f t="shared" si="4"/>
        <v>3.3322045101752038</v>
      </c>
      <c r="M190">
        <f t="shared" si="5"/>
        <v>4.204543354520176</v>
      </c>
    </row>
    <row r="191" spans="1:13" x14ac:dyDescent="0.2">
      <c r="A191" t="s">
        <v>137</v>
      </c>
      <c r="B191" t="s">
        <v>25</v>
      </c>
      <c r="C191" s="1" t="d">
        <v>2017-05-01</v>
      </c>
      <c r="D191">
        <v>4</v>
      </c>
      <c r="E191">
        <v>59.9</v>
      </c>
      <c r="F191">
        <v>239.6</v>
      </c>
      <c r="G191" s="2" t="s">
        <v>13</v>
      </c>
      <c r="H191" s="2" t="s">
        <v>51</v>
      </c>
      <c r="I191">
        <v>23</v>
      </c>
      <c r="J191">
        <v>8</v>
      </c>
      <c r="K191">
        <v>1</v>
      </c>
      <c r="L191">
        <f t="shared" si="4"/>
        <v>1.3862943611198906</v>
      </c>
      <c r="M191">
        <f t="shared" si="5"/>
        <v>4.0926765051214034</v>
      </c>
    </row>
    <row r="192" spans="1:13" x14ac:dyDescent="0.2">
      <c r="A192" t="s">
        <v>137</v>
      </c>
      <c r="B192" t="s">
        <v>25</v>
      </c>
      <c r="C192" s="1" t="d">
        <v>2017-06-01</v>
      </c>
      <c r="D192">
        <v>1</v>
      </c>
      <c r="E192">
        <v>59.9</v>
      </c>
      <c r="F192">
        <v>59.9</v>
      </c>
      <c r="G192" s="2" t="s">
        <v>13</v>
      </c>
      <c r="H192" s="2" t="s">
        <v>51</v>
      </c>
      <c r="I192">
        <v>22</v>
      </c>
      <c r="J192">
        <v>8</v>
      </c>
      <c r="K192">
        <v>1</v>
      </c>
      <c r="L192">
        <f t="shared" si="4"/>
        <v>0</v>
      </c>
      <c r="M192">
        <f t="shared" si="5"/>
        <v>4.0926765051214034</v>
      </c>
    </row>
    <row r="193" spans="1:13" x14ac:dyDescent="0.2">
      <c r="A193" t="s">
        <v>137</v>
      </c>
      <c r="B193" t="s">
        <v>25</v>
      </c>
      <c r="C193" s="1" t="d">
        <v>2017-07-01</v>
      </c>
      <c r="D193">
        <v>14</v>
      </c>
      <c r="E193">
        <v>59.9</v>
      </c>
      <c r="F193">
        <v>838.6</v>
      </c>
      <c r="G193" s="2" t="s">
        <v>13</v>
      </c>
      <c r="H193" s="2" t="s">
        <v>51</v>
      </c>
      <c r="I193">
        <v>21</v>
      </c>
      <c r="J193">
        <v>10</v>
      </c>
      <c r="K193">
        <v>1</v>
      </c>
      <c r="L193">
        <f t="shared" si="4"/>
        <v>2.6390573296152584</v>
      </c>
      <c r="M193">
        <f t="shared" si="5"/>
        <v>4.0926765051214034</v>
      </c>
    </row>
    <row r="194" spans="1:13" x14ac:dyDescent="0.2">
      <c r="A194" t="s">
        <v>137</v>
      </c>
      <c r="B194" t="s">
        <v>25</v>
      </c>
      <c r="C194" s="1" t="d">
        <v>2017-08-01</v>
      </c>
      <c r="D194">
        <v>39</v>
      </c>
      <c r="E194">
        <v>59.9</v>
      </c>
      <c r="F194">
        <v>2336.1</v>
      </c>
      <c r="G194" s="2" t="s">
        <v>13</v>
      </c>
      <c r="H194" s="2" t="s">
        <v>51</v>
      </c>
      <c r="I194">
        <v>23</v>
      </c>
      <c r="J194">
        <v>8</v>
      </c>
      <c r="K194">
        <v>1</v>
      </c>
      <c r="L194">
        <f t="shared" si="4"/>
        <v>3.6635616461296463</v>
      </c>
      <c r="M194">
        <f t="shared" si="5"/>
        <v>4.0926765051214034</v>
      </c>
    </row>
    <row r="195" spans="1:13" x14ac:dyDescent="0.2">
      <c r="A195" t="s">
        <v>137</v>
      </c>
      <c r="B195" t="s">
        <v>25</v>
      </c>
      <c r="C195" s="1" t="d">
        <v>2017-09-01</v>
      </c>
      <c r="D195">
        <v>37</v>
      </c>
      <c r="E195">
        <v>59.9</v>
      </c>
      <c r="F195" s="2" t="s">
        <v>138</v>
      </c>
      <c r="G195" s="2" t="s">
        <v>13</v>
      </c>
      <c r="H195" s="2" t="s">
        <v>51</v>
      </c>
      <c r="I195">
        <v>21</v>
      </c>
      <c r="J195">
        <v>9</v>
      </c>
      <c r="K195">
        <v>1</v>
      </c>
      <c r="L195">
        <f t="shared" ref="L195:L258" si="6">IF(D195&gt;0, LN(D195), "")</f>
        <v>3.6109179126442243</v>
      </c>
      <c r="M195">
        <f t="shared" ref="M195:M258" si="7">LN(E195)</f>
        <v>4.0926765051214034</v>
      </c>
    </row>
    <row r="196" spans="1:13" x14ac:dyDescent="0.2">
      <c r="A196" t="s">
        <v>137</v>
      </c>
      <c r="B196" t="s">
        <v>25</v>
      </c>
      <c r="C196" s="1" t="d">
        <v>2017-10-01</v>
      </c>
      <c r="D196">
        <v>39</v>
      </c>
      <c r="E196">
        <v>59.9</v>
      </c>
      <c r="F196">
        <v>2336.1</v>
      </c>
      <c r="G196" s="2" t="s">
        <v>13</v>
      </c>
      <c r="H196" s="2" t="s">
        <v>51</v>
      </c>
      <c r="I196">
        <v>22</v>
      </c>
      <c r="J196">
        <v>9</v>
      </c>
      <c r="K196">
        <v>2</v>
      </c>
      <c r="L196">
        <f t="shared" si="6"/>
        <v>3.6635616461296463</v>
      </c>
      <c r="M196">
        <f t="shared" si="7"/>
        <v>4.0926765051214034</v>
      </c>
    </row>
    <row r="197" spans="1:13" x14ac:dyDescent="0.2">
      <c r="A197" t="s">
        <v>137</v>
      </c>
      <c r="B197" t="s">
        <v>25</v>
      </c>
      <c r="C197" s="1" t="d">
        <v>2017-11-01</v>
      </c>
      <c r="D197">
        <v>91</v>
      </c>
      <c r="E197">
        <v>52.406944439999997</v>
      </c>
      <c r="F197">
        <v>4769.0319440399999</v>
      </c>
      <c r="G197" s="2" t="s">
        <v>13</v>
      </c>
      <c r="H197" s="2" t="s">
        <v>139</v>
      </c>
      <c r="I197">
        <v>22</v>
      </c>
      <c r="J197">
        <v>8</v>
      </c>
      <c r="K197">
        <v>4</v>
      </c>
      <c r="L197">
        <f t="shared" si="6"/>
        <v>4.5108595065168497</v>
      </c>
      <c r="M197">
        <f t="shared" si="7"/>
        <v>3.9590391100269215</v>
      </c>
    </row>
    <row r="198" spans="1:13" x14ac:dyDescent="0.2">
      <c r="A198" t="s">
        <v>137</v>
      </c>
      <c r="B198" t="s">
        <v>25</v>
      </c>
      <c r="C198" s="1" t="d">
        <v>2017-12-01</v>
      </c>
      <c r="D198">
        <v>51</v>
      </c>
      <c r="E198">
        <v>55.1</v>
      </c>
      <c r="F198">
        <v>2810.1</v>
      </c>
      <c r="G198" s="2" t="s">
        <v>13</v>
      </c>
      <c r="H198" s="2" t="s">
        <v>140</v>
      </c>
      <c r="I198">
        <v>21</v>
      </c>
      <c r="J198">
        <v>10</v>
      </c>
      <c r="K198">
        <v>1</v>
      </c>
      <c r="L198">
        <f t="shared" si="6"/>
        <v>3.9318256327243257</v>
      </c>
      <c r="M198">
        <f t="shared" si="7"/>
        <v>4.0091497161588689</v>
      </c>
    </row>
    <row r="199" spans="1:13" x14ac:dyDescent="0.2">
      <c r="A199" t="s">
        <v>137</v>
      </c>
      <c r="B199" t="s">
        <v>25</v>
      </c>
      <c r="C199" s="1" t="d">
        <v>2018-01-01</v>
      </c>
      <c r="D199">
        <v>12</v>
      </c>
      <c r="E199">
        <v>49.9</v>
      </c>
      <c r="F199">
        <v>598.79999999999995</v>
      </c>
      <c r="G199" s="2" t="s">
        <v>13</v>
      </c>
      <c r="H199" s="2" t="s">
        <v>54</v>
      </c>
      <c r="I199">
        <v>23</v>
      </c>
      <c r="J199">
        <v>8</v>
      </c>
      <c r="K199">
        <v>2</v>
      </c>
      <c r="L199">
        <f t="shared" si="6"/>
        <v>2.4849066497880004</v>
      </c>
      <c r="M199">
        <f t="shared" si="7"/>
        <v>3.9100210027574729</v>
      </c>
    </row>
    <row r="200" spans="1:13" x14ac:dyDescent="0.2">
      <c r="A200" t="s">
        <v>137</v>
      </c>
      <c r="B200" t="s">
        <v>25</v>
      </c>
      <c r="C200" s="1" t="d">
        <v>2018-02-01</v>
      </c>
      <c r="D200">
        <v>39</v>
      </c>
      <c r="E200">
        <v>50.545161290000003</v>
      </c>
      <c r="F200">
        <v>1971.26129031</v>
      </c>
      <c r="G200" s="2" t="s">
        <v>13</v>
      </c>
      <c r="H200" s="2" t="s">
        <v>141</v>
      </c>
      <c r="I200">
        <v>20</v>
      </c>
      <c r="J200">
        <v>8</v>
      </c>
      <c r="K200">
        <v>2</v>
      </c>
      <c r="L200">
        <f t="shared" si="6"/>
        <v>3.6635616461296463</v>
      </c>
      <c r="M200">
        <f t="shared" si="7"/>
        <v>3.9228672196188343</v>
      </c>
    </row>
    <row r="201" spans="1:13" x14ac:dyDescent="0.2">
      <c r="A201" t="s">
        <v>137</v>
      </c>
      <c r="B201" t="s">
        <v>25</v>
      </c>
      <c r="C201" s="1" t="d">
        <v>2018-03-01</v>
      </c>
      <c r="D201">
        <v>31</v>
      </c>
      <c r="E201">
        <v>53.9</v>
      </c>
      <c r="F201" s="2" t="s">
        <v>142</v>
      </c>
      <c r="G201" s="2" t="s">
        <v>13</v>
      </c>
      <c r="H201" s="2" t="s">
        <v>56</v>
      </c>
      <c r="I201">
        <v>22</v>
      </c>
      <c r="J201">
        <v>9</v>
      </c>
      <c r="K201">
        <v>1</v>
      </c>
      <c r="L201">
        <f t="shared" si="6"/>
        <v>3.4339872044851463</v>
      </c>
      <c r="M201">
        <f t="shared" si="7"/>
        <v>3.9871304779149512</v>
      </c>
    </row>
    <row r="202" spans="1:13" x14ac:dyDescent="0.2">
      <c r="A202" t="s">
        <v>137</v>
      </c>
      <c r="B202" t="s">
        <v>25</v>
      </c>
      <c r="C202" s="1" t="d">
        <v>2018-04-01</v>
      </c>
      <c r="D202">
        <v>46</v>
      </c>
      <c r="E202">
        <v>53.9</v>
      </c>
      <c r="F202">
        <v>2479.4</v>
      </c>
      <c r="G202" s="2" t="s">
        <v>13</v>
      </c>
      <c r="H202" s="2" t="s">
        <v>56</v>
      </c>
      <c r="I202">
        <v>21</v>
      </c>
      <c r="J202">
        <v>9</v>
      </c>
      <c r="K202">
        <v>1</v>
      </c>
      <c r="L202">
        <f t="shared" si="6"/>
        <v>3.8286413964890951</v>
      </c>
      <c r="M202">
        <f t="shared" si="7"/>
        <v>3.9871304779149512</v>
      </c>
    </row>
    <row r="203" spans="1:13" x14ac:dyDescent="0.2">
      <c r="A203" t="s">
        <v>137</v>
      </c>
      <c r="B203" t="s">
        <v>25</v>
      </c>
      <c r="C203" s="1" t="d">
        <v>2018-05-01</v>
      </c>
      <c r="D203">
        <v>56</v>
      </c>
      <c r="E203">
        <v>53.415151520000002</v>
      </c>
      <c r="F203">
        <v>2991.2484851200002</v>
      </c>
      <c r="G203" s="2" t="s">
        <v>13</v>
      </c>
      <c r="H203" s="2" t="s">
        <v>143</v>
      </c>
      <c r="I203">
        <v>23</v>
      </c>
      <c r="J203">
        <v>8</v>
      </c>
      <c r="K203">
        <v>3</v>
      </c>
      <c r="L203">
        <f t="shared" si="6"/>
        <v>4.0253516907351496</v>
      </c>
      <c r="M203">
        <f t="shared" si="7"/>
        <v>3.9780944420501974</v>
      </c>
    </row>
    <row r="204" spans="1:13" x14ac:dyDescent="0.2">
      <c r="A204" t="s">
        <v>137</v>
      </c>
      <c r="B204" t="s">
        <v>25</v>
      </c>
      <c r="C204" s="1" t="d">
        <v>2018-06-01</v>
      </c>
      <c r="D204">
        <v>12</v>
      </c>
      <c r="E204">
        <v>49.9</v>
      </c>
      <c r="F204">
        <v>598.79999999999995</v>
      </c>
      <c r="G204" s="2" t="s">
        <v>13</v>
      </c>
      <c r="H204" s="2" t="s">
        <v>54</v>
      </c>
      <c r="I204">
        <v>21</v>
      </c>
      <c r="J204">
        <v>9</v>
      </c>
      <c r="K204">
        <v>0</v>
      </c>
      <c r="L204">
        <f t="shared" si="6"/>
        <v>2.4849066497880004</v>
      </c>
      <c r="M204">
        <f t="shared" si="7"/>
        <v>3.9100210027574729</v>
      </c>
    </row>
    <row r="205" spans="1:13" x14ac:dyDescent="0.2">
      <c r="A205" t="s">
        <v>137</v>
      </c>
      <c r="B205" t="s">
        <v>25</v>
      </c>
      <c r="C205" s="1" t="d">
        <v>2018-07-01</v>
      </c>
      <c r="D205">
        <v>6</v>
      </c>
      <c r="E205">
        <v>49.91</v>
      </c>
      <c r="F205">
        <v>299.45999999999998</v>
      </c>
      <c r="G205" s="2" t="s">
        <v>13</v>
      </c>
      <c r="H205" s="2" t="s">
        <v>144</v>
      </c>
      <c r="I205">
        <v>22</v>
      </c>
      <c r="J205">
        <v>9</v>
      </c>
      <c r="K205">
        <v>1</v>
      </c>
      <c r="L205">
        <f t="shared" si="6"/>
        <v>1.791759469228055</v>
      </c>
      <c r="M205">
        <f t="shared" si="7"/>
        <v>3.9102213834815176</v>
      </c>
    </row>
    <row r="206" spans="1:13" x14ac:dyDescent="0.2">
      <c r="A206" t="s">
        <v>137</v>
      </c>
      <c r="B206" t="s">
        <v>25</v>
      </c>
      <c r="C206" s="1" t="d">
        <v>2018-08-01</v>
      </c>
      <c r="D206">
        <v>6</v>
      </c>
      <c r="E206">
        <v>49.91</v>
      </c>
      <c r="F206">
        <v>299.45999999999998</v>
      </c>
      <c r="G206" s="2" t="s">
        <v>13</v>
      </c>
      <c r="H206" s="2" t="s">
        <v>144</v>
      </c>
      <c r="I206">
        <v>23</v>
      </c>
      <c r="J206">
        <v>8</v>
      </c>
      <c r="K206">
        <v>1</v>
      </c>
      <c r="L206">
        <f t="shared" si="6"/>
        <v>1.791759469228055</v>
      </c>
      <c r="M206">
        <f t="shared" si="7"/>
        <v>3.9102213834815176</v>
      </c>
    </row>
    <row r="207" spans="1:13" x14ac:dyDescent="0.2">
      <c r="A207" t="s">
        <v>145</v>
      </c>
      <c r="B207" t="s">
        <v>60</v>
      </c>
      <c r="C207" s="1" t="d">
        <v>2018-02-01</v>
      </c>
      <c r="D207">
        <v>21</v>
      </c>
      <c r="E207">
        <v>47.357894739999999</v>
      </c>
      <c r="F207">
        <v>994.51578954000001</v>
      </c>
      <c r="G207" s="2" t="s">
        <v>62</v>
      </c>
      <c r="H207" s="2" t="s">
        <v>146</v>
      </c>
      <c r="I207">
        <v>20</v>
      </c>
      <c r="J207">
        <v>8</v>
      </c>
      <c r="K207">
        <v>2</v>
      </c>
      <c r="L207">
        <f t="shared" si="6"/>
        <v>3.044522437723423</v>
      </c>
      <c r="M207">
        <f t="shared" si="7"/>
        <v>3.8577335373073129</v>
      </c>
    </row>
    <row r="208" spans="1:13" x14ac:dyDescent="0.2">
      <c r="A208" t="s">
        <v>145</v>
      </c>
      <c r="B208" t="s">
        <v>60</v>
      </c>
      <c r="C208" s="1" t="d">
        <v>2018-03-01</v>
      </c>
      <c r="D208">
        <v>58</v>
      </c>
      <c r="E208">
        <v>48.459444439999999</v>
      </c>
      <c r="F208">
        <v>2810.6477775200001</v>
      </c>
      <c r="G208" s="2" t="s">
        <v>62</v>
      </c>
      <c r="H208" s="2" t="s">
        <v>147</v>
      </c>
      <c r="I208">
        <v>22</v>
      </c>
      <c r="J208">
        <v>9</v>
      </c>
      <c r="K208">
        <v>1</v>
      </c>
      <c r="L208">
        <f t="shared" si="6"/>
        <v>4.0604430105464191</v>
      </c>
      <c r="M208">
        <f t="shared" si="7"/>
        <v>3.8807272510222099</v>
      </c>
    </row>
    <row r="209" spans="1:13" x14ac:dyDescent="0.2">
      <c r="A209" t="s">
        <v>145</v>
      </c>
      <c r="B209" t="s">
        <v>60</v>
      </c>
      <c r="C209" s="1" t="d">
        <v>2018-04-01</v>
      </c>
      <c r="D209">
        <v>18</v>
      </c>
      <c r="E209">
        <v>53.701764709999999</v>
      </c>
      <c r="F209">
        <v>966.63176478000003</v>
      </c>
      <c r="G209" s="2" t="s">
        <v>13</v>
      </c>
      <c r="H209" s="2" t="s">
        <v>148</v>
      </c>
      <c r="I209">
        <v>21</v>
      </c>
      <c r="J209">
        <v>9</v>
      </c>
      <c r="K209">
        <v>1</v>
      </c>
      <c r="L209">
        <f t="shared" si="6"/>
        <v>2.8903717578961645</v>
      </c>
      <c r="M209">
        <f t="shared" si="7"/>
        <v>3.9834458633584755</v>
      </c>
    </row>
    <row r="210" spans="1:13" x14ac:dyDescent="0.2">
      <c r="A210" t="s">
        <v>145</v>
      </c>
      <c r="B210" t="s">
        <v>60</v>
      </c>
      <c r="C210" s="1" t="d">
        <v>2018-05-01</v>
      </c>
      <c r="D210">
        <v>33</v>
      </c>
      <c r="E210">
        <v>52.069285710000003</v>
      </c>
      <c r="F210" s="2" t="s">
        <v>149</v>
      </c>
      <c r="G210" s="2" t="s">
        <v>62</v>
      </c>
      <c r="H210" s="2" t="s">
        <v>150</v>
      </c>
      <c r="I210">
        <v>23</v>
      </c>
      <c r="J210">
        <v>8</v>
      </c>
      <c r="K210">
        <v>3</v>
      </c>
      <c r="L210">
        <f t="shared" si="6"/>
        <v>3.4965075614664802</v>
      </c>
      <c r="M210">
        <f t="shared" si="7"/>
        <v>3.9525752492009394</v>
      </c>
    </row>
    <row r="211" spans="1:13" x14ac:dyDescent="0.2">
      <c r="A211" t="s">
        <v>145</v>
      </c>
      <c r="B211" t="s">
        <v>60</v>
      </c>
      <c r="C211" s="1" t="d">
        <v>2018-06-01</v>
      </c>
      <c r="D211">
        <v>9</v>
      </c>
      <c r="E211">
        <v>49.98</v>
      </c>
      <c r="F211">
        <v>449.82</v>
      </c>
      <c r="G211" s="2" t="s">
        <v>62</v>
      </c>
      <c r="H211" s="2" t="s">
        <v>151</v>
      </c>
      <c r="I211">
        <v>21</v>
      </c>
      <c r="J211">
        <v>9</v>
      </c>
      <c r="K211">
        <v>0</v>
      </c>
      <c r="L211">
        <f t="shared" si="6"/>
        <v>2.1972245773362196</v>
      </c>
      <c r="M211">
        <f t="shared" si="7"/>
        <v>3.9116229254068062</v>
      </c>
    </row>
    <row r="212" spans="1:13" x14ac:dyDescent="0.2">
      <c r="A212" t="s">
        <v>145</v>
      </c>
      <c r="B212" t="s">
        <v>60</v>
      </c>
      <c r="C212" s="1" t="d">
        <v>2018-07-01</v>
      </c>
      <c r="D212">
        <v>5</v>
      </c>
      <c r="E212">
        <v>51.512</v>
      </c>
      <c r="F212">
        <v>257.56</v>
      </c>
      <c r="G212" s="2" t="s">
        <v>62</v>
      </c>
      <c r="H212" s="2" t="s">
        <v>152</v>
      </c>
      <c r="I212">
        <v>22</v>
      </c>
      <c r="J212">
        <v>9</v>
      </c>
      <c r="K212">
        <v>1</v>
      </c>
      <c r="L212">
        <f t="shared" si="6"/>
        <v>1.6094379124341003</v>
      </c>
      <c r="M212">
        <f t="shared" si="7"/>
        <v>3.9418147902358824</v>
      </c>
    </row>
    <row r="213" spans="1:13" x14ac:dyDescent="0.2">
      <c r="A213" t="s">
        <v>145</v>
      </c>
      <c r="B213" t="s">
        <v>60</v>
      </c>
      <c r="C213" s="1" t="d">
        <v>2018-08-01</v>
      </c>
      <c r="D213">
        <v>11</v>
      </c>
      <c r="E213">
        <v>50.71</v>
      </c>
      <c r="F213" s="2" t="s">
        <v>153</v>
      </c>
      <c r="G213" s="2" t="s">
        <v>62</v>
      </c>
      <c r="H213" s="2" t="s">
        <v>154</v>
      </c>
      <c r="I213">
        <v>23</v>
      </c>
      <c r="J213">
        <v>8</v>
      </c>
      <c r="K213">
        <v>1</v>
      </c>
      <c r="L213">
        <f t="shared" si="6"/>
        <v>2.3978952727983707</v>
      </c>
      <c r="M213">
        <f t="shared" si="7"/>
        <v>3.9261231298069279</v>
      </c>
    </row>
    <row r="214" spans="1:13" x14ac:dyDescent="0.2">
      <c r="A214" t="s">
        <v>155</v>
      </c>
      <c r="B214" t="s">
        <v>156</v>
      </c>
      <c r="C214" s="1" t="d">
        <v>2017-06-01</v>
      </c>
      <c r="D214">
        <v>5</v>
      </c>
      <c r="E214">
        <v>157.99</v>
      </c>
      <c r="F214">
        <v>789.95</v>
      </c>
      <c r="G214" s="2" t="s">
        <v>27</v>
      </c>
      <c r="H214">
        <v>38.85</v>
      </c>
      <c r="I214">
        <v>22</v>
      </c>
      <c r="J214">
        <v>8</v>
      </c>
      <c r="K214">
        <v>1</v>
      </c>
      <c r="L214">
        <f t="shared" si="6"/>
        <v>1.6094379124341003</v>
      </c>
      <c r="M214">
        <f t="shared" si="7"/>
        <v>5.0625317398847578</v>
      </c>
    </row>
    <row r="215" spans="1:13" x14ac:dyDescent="0.2">
      <c r="A215" t="s">
        <v>155</v>
      </c>
      <c r="B215" t="s">
        <v>156</v>
      </c>
      <c r="C215" s="1" t="d">
        <v>2017-07-01</v>
      </c>
      <c r="D215">
        <v>6</v>
      </c>
      <c r="E215">
        <v>171.792</v>
      </c>
      <c r="F215">
        <v>1030.752</v>
      </c>
      <c r="G215" s="2" t="s">
        <v>27</v>
      </c>
      <c r="H215" s="2" t="s">
        <v>157</v>
      </c>
      <c r="I215">
        <v>21</v>
      </c>
      <c r="J215">
        <v>10</v>
      </c>
      <c r="K215">
        <v>1</v>
      </c>
      <c r="L215">
        <f t="shared" si="6"/>
        <v>1.791759469228055</v>
      </c>
      <c r="M215">
        <f t="shared" si="7"/>
        <v>5.1462844426917798</v>
      </c>
    </row>
    <row r="216" spans="1:13" x14ac:dyDescent="0.2">
      <c r="A216" t="s">
        <v>155</v>
      </c>
      <c r="B216" t="s">
        <v>156</v>
      </c>
      <c r="C216" s="1" t="d">
        <v>2017-08-01</v>
      </c>
      <c r="D216">
        <v>5</v>
      </c>
      <c r="E216">
        <v>169.9</v>
      </c>
      <c r="F216">
        <v>849.5</v>
      </c>
      <c r="G216" s="2" t="s">
        <v>27</v>
      </c>
      <c r="H216" s="2" t="s">
        <v>158</v>
      </c>
      <c r="I216">
        <v>23</v>
      </c>
      <c r="J216">
        <v>8</v>
      </c>
      <c r="K216">
        <v>1</v>
      </c>
      <c r="L216">
        <f t="shared" si="6"/>
        <v>1.6094379124341003</v>
      </c>
      <c r="M216">
        <f t="shared" si="7"/>
        <v>5.1352100286778866</v>
      </c>
    </row>
    <row r="217" spans="1:13" x14ac:dyDescent="0.2">
      <c r="A217" t="s">
        <v>155</v>
      </c>
      <c r="B217" t="s">
        <v>156</v>
      </c>
      <c r="C217" s="1" t="d">
        <v>2017-09-01</v>
      </c>
      <c r="D217">
        <v>10</v>
      </c>
      <c r="E217">
        <v>160.4</v>
      </c>
      <c r="F217">
        <v>1604</v>
      </c>
      <c r="G217" s="2" t="s">
        <v>27</v>
      </c>
      <c r="H217" s="2" t="s">
        <v>159</v>
      </c>
      <c r="I217">
        <v>21</v>
      </c>
      <c r="J217">
        <v>9</v>
      </c>
      <c r="K217">
        <v>1</v>
      </c>
      <c r="L217">
        <f t="shared" si="6"/>
        <v>2.3025850929940459</v>
      </c>
      <c r="M217">
        <f t="shared" si="7"/>
        <v>5.0776706954324142</v>
      </c>
    </row>
    <row r="218" spans="1:13" x14ac:dyDescent="0.2">
      <c r="A218" t="s">
        <v>155</v>
      </c>
      <c r="B218" t="s">
        <v>156</v>
      </c>
      <c r="C218" s="1" t="d">
        <v>2017-10-01</v>
      </c>
      <c r="D218">
        <v>16</v>
      </c>
      <c r="E218">
        <v>149.47499999999999</v>
      </c>
      <c r="F218">
        <v>2391.6</v>
      </c>
      <c r="G218" s="2" t="s">
        <v>27</v>
      </c>
      <c r="H218" s="2" t="s">
        <v>160</v>
      </c>
      <c r="I218">
        <v>22</v>
      </c>
      <c r="J218">
        <v>9</v>
      </c>
      <c r="K218">
        <v>2</v>
      </c>
      <c r="L218">
        <f t="shared" si="6"/>
        <v>2.7725887222397811</v>
      </c>
      <c r="M218">
        <f t="shared" si="7"/>
        <v>5.0071291547669681</v>
      </c>
    </row>
    <row r="219" spans="1:13" x14ac:dyDescent="0.2">
      <c r="A219" t="s">
        <v>155</v>
      </c>
      <c r="B219" t="s">
        <v>156</v>
      </c>
      <c r="C219" s="1" t="d">
        <v>2017-11-01</v>
      </c>
      <c r="D219">
        <v>26</v>
      </c>
      <c r="E219">
        <v>140.56</v>
      </c>
      <c r="F219">
        <v>3654.56</v>
      </c>
      <c r="G219" s="2" t="s">
        <v>47</v>
      </c>
      <c r="H219" s="2" t="s">
        <v>161</v>
      </c>
      <c r="I219">
        <v>22</v>
      </c>
      <c r="J219">
        <v>8</v>
      </c>
      <c r="K219">
        <v>4</v>
      </c>
      <c r="L219">
        <f t="shared" si="6"/>
        <v>3.2580965380214821</v>
      </c>
      <c r="M219">
        <f t="shared" si="7"/>
        <v>4.9456344438788413</v>
      </c>
    </row>
    <row r="220" spans="1:13" x14ac:dyDescent="0.2">
      <c r="A220" t="s">
        <v>155</v>
      </c>
      <c r="B220" t="s">
        <v>156</v>
      </c>
      <c r="C220" s="1" t="d">
        <v>2017-12-01</v>
      </c>
      <c r="D220">
        <v>6</v>
      </c>
      <c r="E220">
        <v>149</v>
      </c>
      <c r="F220">
        <v>894</v>
      </c>
      <c r="G220" s="2" t="s">
        <v>47</v>
      </c>
      <c r="H220" s="2" t="s">
        <v>162</v>
      </c>
      <c r="I220">
        <v>21</v>
      </c>
      <c r="J220">
        <v>10</v>
      </c>
      <c r="K220">
        <v>1</v>
      </c>
      <c r="L220">
        <f t="shared" si="6"/>
        <v>1.791759469228055</v>
      </c>
      <c r="M220">
        <f t="shared" si="7"/>
        <v>5.0039463059454592</v>
      </c>
    </row>
    <row r="221" spans="1:13" x14ac:dyDescent="0.2">
      <c r="A221" t="s">
        <v>155</v>
      </c>
      <c r="B221" t="s">
        <v>156</v>
      </c>
      <c r="C221" s="1" t="d">
        <v>2018-01-01</v>
      </c>
      <c r="D221">
        <v>8</v>
      </c>
      <c r="E221">
        <v>148.5</v>
      </c>
      <c r="F221">
        <v>1188</v>
      </c>
      <c r="G221" s="2" t="s">
        <v>27</v>
      </c>
      <c r="H221" s="2" t="s">
        <v>163</v>
      </c>
      <c r="I221">
        <v>23</v>
      </c>
      <c r="J221">
        <v>8</v>
      </c>
      <c r="K221">
        <v>2</v>
      </c>
      <c r="L221">
        <f t="shared" si="6"/>
        <v>2.0794415416798357</v>
      </c>
      <c r="M221">
        <f t="shared" si="7"/>
        <v>5.0005849582427544</v>
      </c>
    </row>
    <row r="222" spans="1:13" x14ac:dyDescent="0.2">
      <c r="A222" t="s">
        <v>155</v>
      </c>
      <c r="B222" t="s">
        <v>156</v>
      </c>
      <c r="C222" s="1" t="d">
        <v>2018-02-01</v>
      </c>
      <c r="D222">
        <v>14</v>
      </c>
      <c r="E222">
        <v>145.99428570000001</v>
      </c>
      <c r="F222" s="2" t="s">
        <v>164</v>
      </c>
      <c r="G222" s="2" t="s">
        <v>47</v>
      </c>
      <c r="H222" s="2" t="s">
        <v>165</v>
      </c>
      <c r="I222">
        <v>20</v>
      </c>
      <c r="J222">
        <v>8</v>
      </c>
      <c r="K222">
        <v>2</v>
      </c>
      <c r="L222">
        <f t="shared" si="6"/>
        <v>2.6390573296152584</v>
      </c>
      <c r="M222">
        <f t="shared" si="7"/>
        <v>4.9835674819012885</v>
      </c>
    </row>
    <row r="223" spans="1:13" x14ac:dyDescent="0.2">
      <c r="A223" t="s">
        <v>155</v>
      </c>
      <c r="B223" t="s">
        <v>156</v>
      </c>
      <c r="C223" s="1" t="d">
        <v>2018-03-01</v>
      </c>
      <c r="D223">
        <v>9</v>
      </c>
      <c r="E223">
        <v>123.9666667</v>
      </c>
      <c r="F223">
        <v>1115.7000003000001</v>
      </c>
      <c r="G223" s="2" t="s">
        <v>47</v>
      </c>
      <c r="H223" s="2" t="s">
        <v>166</v>
      </c>
      <c r="I223">
        <v>22</v>
      </c>
      <c r="J223">
        <v>9</v>
      </c>
      <c r="K223">
        <v>1</v>
      </c>
      <c r="L223">
        <f t="shared" si="6"/>
        <v>2.1972245773362196</v>
      </c>
      <c r="M223">
        <f t="shared" si="7"/>
        <v>4.8200127125318044</v>
      </c>
    </row>
    <row r="224" spans="1:13" x14ac:dyDescent="0.2">
      <c r="A224" t="s">
        <v>155</v>
      </c>
      <c r="B224" t="s">
        <v>156</v>
      </c>
      <c r="C224" s="1" t="d">
        <v>2018-04-01</v>
      </c>
      <c r="D224">
        <v>10</v>
      </c>
      <c r="E224">
        <v>119.19</v>
      </c>
      <c r="F224">
        <v>1191.9000000000001</v>
      </c>
      <c r="G224" s="2" t="s">
        <v>47</v>
      </c>
      <c r="H224" s="2" t="s">
        <v>167</v>
      </c>
      <c r="I224">
        <v>21</v>
      </c>
      <c r="J224">
        <v>9</v>
      </c>
      <c r="K224">
        <v>1</v>
      </c>
      <c r="L224">
        <f t="shared" si="6"/>
        <v>2.3025850929940459</v>
      </c>
      <c r="M224">
        <f t="shared" si="7"/>
        <v>4.780718858494617</v>
      </c>
    </row>
    <row r="225" spans="1:13" x14ac:dyDescent="0.2">
      <c r="A225" t="s">
        <v>155</v>
      </c>
      <c r="B225" t="s">
        <v>156</v>
      </c>
      <c r="C225" s="1" t="d">
        <v>2018-05-01</v>
      </c>
      <c r="D225">
        <v>22</v>
      </c>
      <c r="E225">
        <v>118.1318182</v>
      </c>
      <c r="F225">
        <v>2598.9000004</v>
      </c>
      <c r="G225" s="2" t="s">
        <v>47</v>
      </c>
      <c r="H225" s="2" t="s">
        <v>168</v>
      </c>
      <c r="I225">
        <v>23</v>
      </c>
      <c r="J225">
        <v>8</v>
      </c>
      <c r="K225">
        <v>3</v>
      </c>
      <c r="L225">
        <f t="shared" si="6"/>
        <v>3.0910424533583161</v>
      </c>
      <c r="M225">
        <f t="shared" si="7"/>
        <v>4.7718011043597999</v>
      </c>
    </row>
    <row r="226" spans="1:13" x14ac:dyDescent="0.2">
      <c r="A226" t="s">
        <v>155</v>
      </c>
      <c r="B226" t="s">
        <v>156</v>
      </c>
      <c r="C226" s="1" t="d">
        <v>2018-06-01</v>
      </c>
      <c r="D226">
        <v>1</v>
      </c>
      <c r="E226">
        <v>139.9</v>
      </c>
      <c r="F226">
        <v>139.9</v>
      </c>
      <c r="G226" s="2" t="s">
        <v>47</v>
      </c>
      <c r="H226" s="2" t="s">
        <v>169</v>
      </c>
      <c r="I226">
        <v>21</v>
      </c>
      <c r="J226">
        <v>9</v>
      </c>
      <c r="K226">
        <v>0</v>
      </c>
      <c r="L226">
        <f t="shared" si="6"/>
        <v>0</v>
      </c>
      <c r="M226">
        <f t="shared" si="7"/>
        <v>4.9409278816714357</v>
      </c>
    </row>
    <row r="227" spans="1:13" x14ac:dyDescent="0.2">
      <c r="A227" t="s">
        <v>155</v>
      </c>
      <c r="B227" t="s">
        <v>156</v>
      </c>
      <c r="C227" s="1" t="d">
        <v>2018-07-01</v>
      </c>
      <c r="D227">
        <v>5</v>
      </c>
      <c r="E227">
        <v>138.97999999999999</v>
      </c>
      <c r="F227">
        <v>694.9</v>
      </c>
      <c r="G227" s="2" t="s">
        <v>47</v>
      </c>
      <c r="H227" s="2" t="s">
        <v>170</v>
      </c>
      <c r="I227">
        <v>22</v>
      </c>
      <c r="J227">
        <v>9</v>
      </c>
      <c r="K227">
        <v>1</v>
      </c>
      <c r="L227">
        <f t="shared" si="6"/>
        <v>1.6094379124341003</v>
      </c>
      <c r="M227">
        <f t="shared" si="7"/>
        <v>4.9343300378861814</v>
      </c>
    </row>
    <row r="228" spans="1:13" x14ac:dyDescent="0.2">
      <c r="A228" t="s">
        <v>155</v>
      </c>
      <c r="B228" t="s">
        <v>156</v>
      </c>
      <c r="C228" s="1" t="d">
        <v>2018-08-01</v>
      </c>
      <c r="D228">
        <v>3</v>
      </c>
      <c r="E228">
        <v>138</v>
      </c>
      <c r="F228">
        <v>414</v>
      </c>
      <c r="G228" s="2" t="s">
        <v>47</v>
      </c>
      <c r="H228" s="2" t="s">
        <v>171</v>
      </c>
      <c r="I228">
        <v>23</v>
      </c>
      <c r="J228">
        <v>8</v>
      </c>
      <c r="K228">
        <v>1</v>
      </c>
      <c r="L228">
        <f t="shared" si="6"/>
        <v>1.0986122886681098</v>
      </c>
      <c r="M228">
        <f t="shared" si="7"/>
        <v>4.9272536851572051</v>
      </c>
    </row>
    <row r="229" spans="1:13" x14ac:dyDescent="0.2">
      <c r="A229" t="s">
        <v>172</v>
      </c>
      <c r="B229" t="s">
        <v>60</v>
      </c>
      <c r="C229" s="1" t="d">
        <v>2017-08-01</v>
      </c>
      <c r="D229">
        <v>3</v>
      </c>
      <c r="E229">
        <v>84.99</v>
      </c>
      <c r="F229" s="2" t="s">
        <v>173</v>
      </c>
      <c r="G229" s="2" t="s">
        <v>62</v>
      </c>
      <c r="H229" s="2" t="s">
        <v>174</v>
      </c>
      <c r="I229">
        <v>23</v>
      </c>
      <c r="J229">
        <v>8</v>
      </c>
      <c r="K229">
        <v>1</v>
      </c>
      <c r="L229">
        <f t="shared" si="6"/>
        <v>1.0986122886681098</v>
      </c>
      <c r="M229">
        <f t="shared" si="7"/>
        <v>4.4425336025105349</v>
      </c>
    </row>
    <row r="230" spans="1:13" x14ac:dyDescent="0.2">
      <c r="A230" t="s">
        <v>172</v>
      </c>
      <c r="B230" t="s">
        <v>60</v>
      </c>
      <c r="C230" s="1" t="d">
        <v>2017-09-01</v>
      </c>
      <c r="D230">
        <v>4</v>
      </c>
      <c r="E230">
        <v>84.99</v>
      </c>
      <c r="F230">
        <v>339.96</v>
      </c>
      <c r="G230" s="2" t="s">
        <v>62</v>
      </c>
      <c r="H230" s="2" t="s">
        <v>174</v>
      </c>
      <c r="I230">
        <v>21</v>
      </c>
      <c r="J230">
        <v>9</v>
      </c>
      <c r="K230">
        <v>1</v>
      </c>
      <c r="L230">
        <f t="shared" si="6"/>
        <v>1.3862943611198906</v>
      </c>
      <c r="M230">
        <f t="shared" si="7"/>
        <v>4.4425336025105349</v>
      </c>
    </row>
    <row r="231" spans="1:13" x14ac:dyDescent="0.2">
      <c r="A231" t="s">
        <v>172</v>
      </c>
      <c r="B231" t="s">
        <v>60</v>
      </c>
      <c r="C231" s="1" t="d">
        <v>2017-10-01</v>
      </c>
      <c r="D231">
        <v>3</v>
      </c>
      <c r="E231">
        <v>84.99</v>
      </c>
      <c r="F231" s="2" t="s">
        <v>173</v>
      </c>
      <c r="G231" s="2" t="s">
        <v>62</v>
      </c>
      <c r="H231" s="2" t="s">
        <v>174</v>
      </c>
      <c r="I231">
        <v>22</v>
      </c>
      <c r="J231">
        <v>9</v>
      </c>
      <c r="K231">
        <v>2</v>
      </c>
      <c r="L231">
        <f t="shared" si="6"/>
        <v>1.0986122886681098</v>
      </c>
      <c r="M231">
        <f t="shared" si="7"/>
        <v>4.4425336025105349</v>
      </c>
    </row>
    <row r="232" spans="1:13" x14ac:dyDescent="0.2">
      <c r="A232" t="s">
        <v>172</v>
      </c>
      <c r="B232" t="s">
        <v>60</v>
      </c>
      <c r="C232" s="1" t="d">
        <v>2017-11-01</v>
      </c>
      <c r="D232">
        <v>36</v>
      </c>
      <c r="E232">
        <v>84.99</v>
      </c>
      <c r="F232">
        <v>3059.64</v>
      </c>
      <c r="G232" s="2" t="s">
        <v>62</v>
      </c>
      <c r="H232" s="2" t="s">
        <v>174</v>
      </c>
      <c r="I232">
        <v>22</v>
      </c>
      <c r="J232">
        <v>8</v>
      </c>
      <c r="K232">
        <v>4</v>
      </c>
      <c r="L232">
        <f t="shared" si="6"/>
        <v>3.5835189384561099</v>
      </c>
      <c r="M232">
        <f t="shared" si="7"/>
        <v>4.4425336025105349</v>
      </c>
    </row>
    <row r="233" spans="1:13" x14ac:dyDescent="0.2">
      <c r="A233" t="s">
        <v>172</v>
      </c>
      <c r="B233" t="s">
        <v>60</v>
      </c>
      <c r="C233" s="1" t="d">
        <v>2017-12-01</v>
      </c>
      <c r="D233">
        <v>50</v>
      </c>
      <c r="E233">
        <v>84.99</v>
      </c>
      <c r="F233">
        <v>4249.5</v>
      </c>
      <c r="G233" s="2" t="s">
        <v>62</v>
      </c>
      <c r="H233" s="2" t="s">
        <v>174</v>
      </c>
      <c r="I233">
        <v>21</v>
      </c>
      <c r="J233">
        <v>10</v>
      </c>
      <c r="K233">
        <v>1</v>
      </c>
      <c r="L233">
        <f t="shared" si="6"/>
        <v>3.912023005428146</v>
      </c>
      <c r="M233">
        <f t="shared" si="7"/>
        <v>4.4425336025105349</v>
      </c>
    </row>
    <row r="234" spans="1:13" x14ac:dyDescent="0.2">
      <c r="A234" t="s">
        <v>172</v>
      </c>
      <c r="B234" t="s">
        <v>60</v>
      </c>
      <c r="C234" s="1" t="d">
        <v>2018-01-01</v>
      </c>
      <c r="D234">
        <v>13</v>
      </c>
      <c r="E234">
        <v>84.99</v>
      </c>
      <c r="F234">
        <v>1104.8699999999999</v>
      </c>
      <c r="G234" s="2" t="s">
        <v>62</v>
      </c>
      <c r="H234" s="2" t="s">
        <v>174</v>
      </c>
      <c r="I234">
        <v>23</v>
      </c>
      <c r="J234">
        <v>8</v>
      </c>
      <c r="K234">
        <v>2</v>
      </c>
      <c r="L234">
        <f t="shared" si="6"/>
        <v>2.5649493574615367</v>
      </c>
      <c r="M234">
        <f t="shared" si="7"/>
        <v>4.4425336025105349</v>
      </c>
    </row>
    <row r="235" spans="1:13" x14ac:dyDescent="0.2">
      <c r="A235" t="s">
        <v>172</v>
      </c>
      <c r="B235" t="s">
        <v>60</v>
      </c>
      <c r="C235" s="1" t="d">
        <v>2018-02-01</v>
      </c>
      <c r="D235">
        <v>7</v>
      </c>
      <c r="E235">
        <v>84.99</v>
      </c>
      <c r="F235">
        <v>594.92999999999995</v>
      </c>
      <c r="G235" s="2" t="s">
        <v>62</v>
      </c>
      <c r="H235" s="2" t="s">
        <v>174</v>
      </c>
      <c r="I235">
        <v>20</v>
      </c>
      <c r="J235">
        <v>8</v>
      </c>
      <c r="K235">
        <v>2</v>
      </c>
      <c r="L235">
        <f t="shared" si="6"/>
        <v>1.9459101490553132</v>
      </c>
      <c r="M235">
        <f t="shared" si="7"/>
        <v>4.4425336025105349</v>
      </c>
    </row>
    <row r="236" spans="1:13" x14ac:dyDescent="0.2">
      <c r="A236" t="s">
        <v>172</v>
      </c>
      <c r="B236" t="s">
        <v>60</v>
      </c>
      <c r="C236" s="1" t="d">
        <v>2018-03-01</v>
      </c>
      <c r="D236">
        <v>4</v>
      </c>
      <c r="E236">
        <v>84.99</v>
      </c>
      <c r="F236">
        <v>339.96</v>
      </c>
      <c r="G236" s="2" t="s">
        <v>62</v>
      </c>
      <c r="H236" s="2" t="s">
        <v>174</v>
      </c>
      <c r="I236">
        <v>22</v>
      </c>
      <c r="J236">
        <v>9</v>
      </c>
      <c r="K236">
        <v>1</v>
      </c>
      <c r="L236">
        <f t="shared" si="6"/>
        <v>1.3862943611198906</v>
      </c>
      <c r="M236">
        <f t="shared" si="7"/>
        <v>4.4425336025105349</v>
      </c>
    </row>
    <row r="237" spans="1:13" x14ac:dyDescent="0.2">
      <c r="A237" t="s">
        <v>172</v>
      </c>
      <c r="B237" t="s">
        <v>60</v>
      </c>
      <c r="C237" s="1" t="d">
        <v>2018-06-01</v>
      </c>
      <c r="D237">
        <v>2</v>
      </c>
      <c r="E237">
        <v>84.99</v>
      </c>
      <c r="F237">
        <v>169.98</v>
      </c>
      <c r="G237" s="2" t="s">
        <v>62</v>
      </c>
      <c r="H237" s="2" t="s">
        <v>174</v>
      </c>
      <c r="I237">
        <v>21</v>
      </c>
      <c r="J237">
        <v>9</v>
      </c>
      <c r="K237">
        <v>0</v>
      </c>
      <c r="L237">
        <f t="shared" si="6"/>
        <v>0.69314718055994529</v>
      </c>
      <c r="M237">
        <f t="shared" si="7"/>
        <v>4.4425336025105349</v>
      </c>
    </row>
    <row r="238" spans="1:13" x14ac:dyDescent="0.2">
      <c r="A238" t="s">
        <v>175</v>
      </c>
      <c r="B238" t="s">
        <v>25</v>
      </c>
      <c r="C238" s="1" t="d">
        <v>2017-02-01</v>
      </c>
      <c r="D238">
        <v>1</v>
      </c>
      <c r="E238">
        <v>179.99</v>
      </c>
      <c r="F238">
        <v>179.99</v>
      </c>
      <c r="G238" s="2" t="s">
        <v>47</v>
      </c>
      <c r="H238" s="2" t="s">
        <v>176</v>
      </c>
      <c r="I238">
        <v>20</v>
      </c>
      <c r="J238">
        <v>8</v>
      </c>
      <c r="K238">
        <v>2</v>
      </c>
      <c r="L238">
        <f t="shared" si="6"/>
        <v>0</v>
      </c>
      <c r="M238">
        <f t="shared" si="7"/>
        <v>5.1929012937913877</v>
      </c>
    </row>
    <row r="239" spans="1:13" x14ac:dyDescent="0.2">
      <c r="A239" t="s">
        <v>175</v>
      </c>
      <c r="B239" t="s">
        <v>25</v>
      </c>
      <c r="C239" s="1" t="d">
        <v>2017-04-01</v>
      </c>
      <c r="D239">
        <v>3</v>
      </c>
      <c r="E239">
        <v>179.99</v>
      </c>
      <c r="F239">
        <v>539.97</v>
      </c>
      <c r="G239" s="2" t="s">
        <v>47</v>
      </c>
      <c r="H239" s="2" t="s">
        <v>176</v>
      </c>
      <c r="I239">
        <v>20</v>
      </c>
      <c r="J239">
        <v>10</v>
      </c>
      <c r="K239">
        <v>2</v>
      </c>
      <c r="L239">
        <f t="shared" si="6"/>
        <v>1.0986122886681098</v>
      </c>
      <c r="M239">
        <f t="shared" si="7"/>
        <v>5.1929012937913877</v>
      </c>
    </row>
    <row r="240" spans="1:13" x14ac:dyDescent="0.2">
      <c r="A240" t="s">
        <v>175</v>
      </c>
      <c r="B240" t="s">
        <v>25</v>
      </c>
      <c r="C240" s="1" t="d">
        <v>2017-09-01</v>
      </c>
      <c r="D240">
        <v>2</v>
      </c>
      <c r="E240">
        <v>179.99</v>
      </c>
      <c r="F240">
        <v>359.98</v>
      </c>
      <c r="G240" s="2" t="s">
        <v>13</v>
      </c>
      <c r="H240">
        <v>43.9</v>
      </c>
      <c r="I240">
        <v>21</v>
      </c>
      <c r="J240">
        <v>9</v>
      </c>
      <c r="K240">
        <v>1</v>
      </c>
      <c r="L240">
        <f t="shared" si="6"/>
        <v>0.69314718055994529</v>
      </c>
      <c r="M240">
        <f t="shared" si="7"/>
        <v>5.1929012937913877</v>
      </c>
    </row>
    <row r="241" spans="1:13" x14ac:dyDescent="0.2">
      <c r="A241" t="s">
        <v>175</v>
      </c>
      <c r="B241" t="s">
        <v>25</v>
      </c>
      <c r="C241" s="1" t="d">
        <v>2017-10-01</v>
      </c>
      <c r="D241">
        <v>6</v>
      </c>
      <c r="E241">
        <v>179.99</v>
      </c>
      <c r="F241">
        <v>1079.94</v>
      </c>
      <c r="G241" s="2" t="s">
        <v>13</v>
      </c>
      <c r="H241">
        <v>43.9</v>
      </c>
      <c r="I241">
        <v>22</v>
      </c>
      <c r="J241">
        <v>9</v>
      </c>
      <c r="K241">
        <v>2</v>
      </c>
      <c r="L241">
        <f t="shared" si="6"/>
        <v>1.791759469228055</v>
      </c>
      <c r="M241">
        <f t="shared" si="7"/>
        <v>5.1929012937913877</v>
      </c>
    </row>
    <row r="242" spans="1:13" x14ac:dyDescent="0.2">
      <c r="A242" t="s">
        <v>175</v>
      </c>
      <c r="B242" t="s">
        <v>25</v>
      </c>
      <c r="C242" s="1" t="d">
        <v>2017-11-01</v>
      </c>
      <c r="D242">
        <v>13</v>
      </c>
      <c r="E242">
        <v>179.99</v>
      </c>
      <c r="F242">
        <v>2339.87</v>
      </c>
      <c r="G242" s="2" t="s">
        <v>13</v>
      </c>
      <c r="H242">
        <v>43.9</v>
      </c>
      <c r="I242">
        <v>22</v>
      </c>
      <c r="J242">
        <v>8</v>
      </c>
      <c r="K242">
        <v>4</v>
      </c>
      <c r="L242">
        <f t="shared" si="6"/>
        <v>2.5649493574615367</v>
      </c>
      <c r="M242">
        <f t="shared" si="7"/>
        <v>5.1929012937913877</v>
      </c>
    </row>
    <row r="243" spans="1:13" x14ac:dyDescent="0.2">
      <c r="A243" t="s">
        <v>175</v>
      </c>
      <c r="B243" t="s">
        <v>25</v>
      </c>
      <c r="C243" s="1" t="d">
        <v>2017-12-01</v>
      </c>
      <c r="D243">
        <v>15</v>
      </c>
      <c r="E243">
        <v>183.99</v>
      </c>
      <c r="F243" s="2" t="s">
        <v>177</v>
      </c>
      <c r="G243" s="2" t="s">
        <v>13</v>
      </c>
      <c r="H243" s="2" t="s">
        <v>178</v>
      </c>
      <c r="I243">
        <v>21</v>
      </c>
      <c r="J243">
        <v>10</v>
      </c>
      <c r="K243">
        <v>1</v>
      </c>
      <c r="L243">
        <f t="shared" si="6"/>
        <v>2.7080502011022101</v>
      </c>
      <c r="M243">
        <f t="shared" si="7"/>
        <v>5.2148814083060024</v>
      </c>
    </row>
    <row r="244" spans="1:13" x14ac:dyDescent="0.2">
      <c r="A244" t="s">
        <v>175</v>
      </c>
      <c r="B244" t="s">
        <v>25</v>
      </c>
      <c r="C244" s="1" t="d">
        <v>2018-01-01</v>
      </c>
      <c r="D244">
        <v>14</v>
      </c>
      <c r="E244">
        <v>187.85428569999999</v>
      </c>
      <c r="F244">
        <v>2629.9599997999999</v>
      </c>
      <c r="G244" s="2" t="s">
        <v>13</v>
      </c>
      <c r="H244" s="2" t="s">
        <v>179</v>
      </c>
      <c r="I244">
        <v>23</v>
      </c>
      <c r="J244">
        <v>8</v>
      </c>
      <c r="K244">
        <v>2</v>
      </c>
      <c r="L244">
        <f t="shared" si="6"/>
        <v>2.6390573296152584</v>
      </c>
      <c r="M244">
        <f t="shared" si="7"/>
        <v>5.2356665862393692</v>
      </c>
    </row>
    <row r="245" spans="1:13" x14ac:dyDescent="0.2">
      <c r="A245" t="s">
        <v>175</v>
      </c>
      <c r="B245" t="s">
        <v>25</v>
      </c>
      <c r="C245" s="1" t="d">
        <v>2018-02-01</v>
      </c>
      <c r="D245">
        <v>12</v>
      </c>
      <c r="E245">
        <v>179</v>
      </c>
      <c r="F245">
        <v>2148</v>
      </c>
      <c r="G245" s="2" t="s">
        <v>13</v>
      </c>
      <c r="H245" s="2" t="s">
        <v>180</v>
      </c>
      <c r="I245">
        <v>20</v>
      </c>
      <c r="J245">
        <v>8</v>
      </c>
      <c r="K245">
        <v>2</v>
      </c>
      <c r="L245">
        <f t="shared" si="6"/>
        <v>2.4849066497880004</v>
      </c>
      <c r="M245">
        <f t="shared" si="7"/>
        <v>5.1873858058407549</v>
      </c>
    </row>
    <row r="246" spans="1:13" x14ac:dyDescent="0.2">
      <c r="A246" t="s">
        <v>175</v>
      </c>
      <c r="B246" t="s">
        <v>25</v>
      </c>
      <c r="C246" s="1" t="d">
        <v>2018-03-01</v>
      </c>
      <c r="D246">
        <v>13</v>
      </c>
      <c r="E246">
        <v>175.1538462</v>
      </c>
      <c r="F246">
        <v>2277.0000006</v>
      </c>
      <c r="G246" s="2" t="s">
        <v>13</v>
      </c>
      <c r="H246" s="2" t="s">
        <v>181</v>
      </c>
      <c r="I246">
        <v>22</v>
      </c>
      <c r="J246">
        <v>9</v>
      </c>
      <c r="K246">
        <v>1</v>
      </c>
      <c r="L246">
        <f t="shared" si="6"/>
        <v>2.5649493574615367</v>
      </c>
      <c r="M246">
        <f t="shared" si="7"/>
        <v>5.1656647088657079</v>
      </c>
    </row>
    <row r="247" spans="1:13" x14ac:dyDescent="0.2">
      <c r="A247" t="s">
        <v>175</v>
      </c>
      <c r="B247" t="s">
        <v>25</v>
      </c>
      <c r="C247" s="1" t="d">
        <v>2018-04-01</v>
      </c>
      <c r="D247">
        <v>11</v>
      </c>
      <c r="E247">
        <v>179</v>
      </c>
      <c r="F247">
        <v>1969</v>
      </c>
      <c r="G247" s="2" t="s">
        <v>13</v>
      </c>
      <c r="H247" s="2" t="s">
        <v>180</v>
      </c>
      <c r="I247">
        <v>21</v>
      </c>
      <c r="J247">
        <v>9</v>
      </c>
      <c r="K247">
        <v>1</v>
      </c>
      <c r="L247">
        <f t="shared" si="6"/>
        <v>2.3978952727983707</v>
      </c>
      <c r="M247">
        <f t="shared" si="7"/>
        <v>5.1873858058407549</v>
      </c>
    </row>
    <row r="248" spans="1:13" x14ac:dyDescent="0.2">
      <c r="A248" t="s">
        <v>175</v>
      </c>
      <c r="B248" t="s">
        <v>25</v>
      </c>
      <c r="C248" s="1" t="d">
        <v>2018-05-01</v>
      </c>
      <c r="D248">
        <v>3</v>
      </c>
      <c r="E248">
        <v>179</v>
      </c>
      <c r="F248">
        <v>537</v>
      </c>
      <c r="G248" s="2" t="s">
        <v>13</v>
      </c>
      <c r="H248" s="2" t="s">
        <v>180</v>
      </c>
      <c r="I248">
        <v>23</v>
      </c>
      <c r="J248">
        <v>8</v>
      </c>
      <c r="K248">
        <v>3</v>
      </c>
      <c r="L248">
        <f t="shared" si="6"/>
        <v>1.0986122886681098</v>
      </c>
      <c r="M248">
        <f t="shared" si="7"/>
        <v>5.1873858058407549</v>
      </c>
    </row>
    <row r="249" spans="1:13" x14ac:dyDescent="0.2">
      <c r="A249" t="s">
        <v>175</v>
      </c>
      <c r="B249" t="s">
        <v>25</v>
      </c>
      <c r="C249" s="1" t="d">
        <v>2018-06-01</v>
      </c>
      <c r="D249">
        <v>10</v>
      </c>
      <c r="E249">
        <v>159</v>
      </c>
      <c r="F249">
        <v>1590</v>
      </c>
      <c r="G249" s="2" t="s">
        <v>13</v>
      </c>
      <c r="H249" s="2" t="s">
        <v>182</v>
      </c>
      <c r="I249">
        <v>21</v>
      </c>
      <c r="J249">
        <v>9</v>
      </c>
      <c r="K249">
        <v>0</v>
      </c>
      <c r="L249">
        <f t="shared" si="6"/>
        <v>2.3025850929940459</v>
      </c>
      <c r="M249">
        <f t="shared" si="7"/>
        <v>5.0689042022202315</v>
      </c>
    </row>
    <row r="250" spans="1:13" x14ac:dyDescent="0.2">
      <c r="A250" t="s">
        <v>175</v>
      </c>
      <c r="B250" t="s">
        <v>25</v>
      </c>
      <c r="C250" s="1" t="d">
        <v>2018-07-01</v>
      </c>
      <c r="D250">
        <v>8</v>
      </c>
      <c r="E250">
        <v>139</v>
      </c>
      <c r="F250">
        <v>1112</v>
      </c>
      <c r="G250" s="2" t="s">
        <v>13</v>
      </c>
      <c r="H250" s="2" t="s">
        <v>183</v>
      </c>
      <c r="I250">
        <v>22</v>
      </c>
      <c r="J250">
        <v>9</v>
      </c>
      <c r="K250">
        <v>1</v>
      </c>
      <c r="L250">
        <f t="shared" si="6"/>
        <v>2.0794415416798357</v>
      </c>
      <c r="M250">
        <f t="shared" si="7"/>
        <v>4.9344739331306915</v>
      </c>
    </row>
    <row r="251" spans="1:13" x14ac:dyDescent="0.2">
      <c r="A251" t="s">
        <v>175</v>
      </c>
      <c r="B251" t="s">
        <v>25</v>
      </c>
      <c r="C251" s="1" t="d">
        <v>2018-08-01</v>
      </c>
      <c r="D251">
        <v>7</v>
      </c>
      <c r="E251">
        <v>139</v>
      </c>
      <c r="F251">
        <v>973</v>
      </c>
      <c r="G251" s="2" t="s">
        <v>13</v>
      </c>
      <c r="H251" s="2" t="s">
        <v>183</v>
      </c>
      <c r="I251">
        <v>23</v>
      </c>
      <c r="J251">
        <v>8</v>
      </c>
      <c r="K251">
        <v>1</v>
      </c>
      <c r="L251">
        <f t="shared" si="6"/>
        <v>1.9459101490553132</v>
      </c>
      <c r="M251">
        <f t="shared" si="7"/>
        <v>4.9344739331306915</v>
      </c>
    </row>
    <row r="252" spans="1:13" x14ac:dyDescent="0.2">
      <c r="A252" t="s">
        <v>184</v>
      </c>
      <c r="B252" t="s">
        <v>25</v>
      </c>
      <c r="C252" s="1" t="d">
        <v>2017-04-01</v>
      </c>
      <c r="D252">
        <v>3</v>
      </c>
      <c r="E252">
        <v>59.9</v>
      </c>
      <c r="F252">
        <v>179.7</v>
      </c>
      <c r="G252">
        <v>4</v>
      </c>
      <c r="H252">
        <v>14.975</v>
      </c>
      <c r="I252">
        <v>20</v>
      </c>
      <c r="J252">
        <v>10</v>
      </c>
      <c r="K252">
        <v>2</v>
      </c>
      <c r="L252">
        <f t="shared" si="6"/>
        <v>1.0986122886681098</v>
      </c>
      <c r="M252">
        <f t="shared" si="7"/>
        <v>4.0926765051214034</v>
      </c>
    </row>
    <row r="253" spans="1:13" x14ac:dyDescent="0.2">
      <c r="A253" t="s">
        <v>184</v>
      </c>
      <c r="B253" t="s">
        <v>25</v>
      </c>
      <c r="C253" s="1" t="d">
        <v>2017-05-01</v>
      </c>
      <c r="D253">
        <v>7</v>
      </c>
      <c r="E253">
        <v>59.9</v>
      </c>
      <c r="F253">
        <v>419.3</v>
      </c>
      <c r="G253" s="2" t="s">
        <v>13</v>
      </c>
      <c r="H253" s="2" t="s">
        <v>51</v>
      </c>
      <c r="I253">
        <v>23</v>
      </c>
      <c r="J253">
        <v>8</v>
      </c>
      <c r="K253">
        <v>1</v>
      </c>
      <c r="L253">
        <f t="shared" si="6"/>
        <v>1.9459101490553132</v>
      </c>
      <c r="M253">
        <f t="shared" si="7"/>
        <v>4.0926765051214034</v>
      </c>
    </row>
    <row r="254" spans="1:13" x14ac:dyDescent="0.2">
      <c r="A254" t="s">
        <v>184</v>
      </c>
      <c r="B254" t="s">
        <v>25</v>
      </c>
      <c r="C254" s="1" t="d">
        <v>2017-06-01</v>
      </c>
      <c r="D254">
        <v>4</v>
      </c>
      <c r="E254">
        <v>59.9</v>
      </c>
      <c r="F254">
        <v>239.6</v>
      </c>
      <c r="G254" s="2" t="s">
        <v>13</v>
      </c>
      <c r="H254" s="2" t="s">
        <v>51</v>
      </c>
      <c r="I254">
        <v>22</v>
      </c>
      <c r="J254">
        <v>8</v>
      </c>
      <c r="K254">
        <v>1</v>
      </c>
      <c r="L254">
        <f t="shared" si="6"/>
        <v>1.3862943611198906</v>
      </c>
      <c r="M254">
        <f t="shared" si="7"/>
        <v>4.0926765051214034</v>
      </c>
    </row>
    <row r="255" spans="1:13" x14ac:dyDescent="0.2">
      <c r="A255" t="s">
        <v>184</v>
      </c>
      <c r="B255" t="s">
        <v>25</v>
      </c>
      <c r="C255" s="1" t="d">
        <v>2017-07-01</v>
      </c>
      <c r="D255">
        <v>19</v>
      </c>
      <c r="E255">
        <v>59.9</v>
      </c>
      <c r="F255">
        <v>1138.0999999999999</v>
      </c>
      <c r="G255" s="2" t="s">
        <v>13</v>
      </c>
      <c r="H255" s="2" t="s">
        <v>51</v>
      </c>
      <c r="I255">
        <v>21</v>
      </c>
      <c r="J255">
        <v>10</v>
      </c>
      <c r="K255">
        <v>1</v>
      </c>
      <c r="L255">
        <f t="shared" si="6"/>
        <v>2.9444389791664403</v>
      </c>
      <c r="M255">
        <f t="shared" si="7"/>
        <v>4.0926765051214034</v>
      </c>
    </row>
    <row r="256" spans="1:13" x14ac:dyDescent="0.2">
      <c r="A256" t="s">
        <v>184</v>
      </c>
      <c r="B256" t="s">
        <v>25</v>
      </c>
      <c r="C256" s="1" t="d">
        <v>2017-08-01</v>
      </c>
      <c r="D256">
        <v>21</v>
      </c>
      <c r="E256">
        <v>59.9</v>
      </c>
      <c r="F256" s="2" t="s">
        <v>185</v>
      </c>
      <c r="G256" s="2" t="s">
        <v>13</v>
      </c>
      <c r="H256" s="2" t="s">
        <v>51</v>
      </c>
      <c r="I256">
        <v>23</v>
      </c>
      <c r="J256">
        <v>8</v>
      </c>
      <c r="K256">
        <v>1</v>
      </c>
      <c r="L256">
        <f t="shared" si="6"/>
        <v>3.044522437723423</v>
      </c>
      <c r="M256">
        <f t="shared" si="7"/>
        <v>4.0926765051214034</v>
      </c>
    </row>
    <row r="257" spans="1:13" x14ac:dyDescent="0.2">
      <c r="A257" t="s">
        <v>184</v>
      </c>
      <c r="B257" t="s">
        <v>25</v>
      </c>
      <c r="C257" s="1" t="d">
        <v>2017-09-01</v>
      </c>
      <c r="D257">
        <v>23</v>
      </c>
      <c r="E257">
        <v>59.9</v>
      </c>
      <c r="F257">
        <v>1377.7</v>
      </c>
      <c r="G257" s="2" t="s">
        <v>13</v>
      </c>
      <c r="H257" s="2" t="s">
        <v>51</v>
      </c>
      <c r="I257">
        <v>21</v>
      </c>
      <c r="J257">
        <v>9</v>
      </c>
      <c r="K257">
        <v>1</v>
      </c>
      <c r="L257">
        <f t="shared" si="6"/>
        <v>3.1354942159291497</v>
      </c>
      <c r="M257">
        <f t="shared" si="7"/>
        <v>4.0926765051214034</v>
      </c>
    </row>
    <row r="258" spans="1:13" x14ac:dyDescent="0.2">
      <c r="A258" t="s">
        <v>184</v>
      </c>
      <c r="B258" t="s">
        <v>25</v>
      </c>
      <c r="C258" s="1" t="d">
        <v>2017-10-01</v>
      </c>
      <c r="D258">
        <v>19</v>
      </c>
      <c r="E258">
        <v>59.9</v>
      </c>
      <c r="F258">
        <v>1138.0999999999999</v>
      </c>
      <c r="G258" s="2" t="s">
        <v>13</v>
      </c>
      <c r="H258" s="2" t="s">
        <v>51</v>
      </c>
      <c r="I258">
        <v>22</v>
      </c>
      <c r="J258">
        <v>9</v>
      </c>
      <c r="K258">
        <v>2</v>
      </c>
      <c r="L258">
        <f t="shared" si="6"/>
        <v>2.9444389791664403</v>
      </c>
      <c r="M258">
        <f t="shared" si="7"/>
        <v>4.0926765051214034</v>
      </c>
    </row>
    <row r="259" spans="1:13" x14ac:dyDescent="0.2">
      <c r="A259" t="s">
        <v>184</v>
      </c>
      <c r="B259" t="s">
        <v>25</v>
      </c>
      <c r="C259" s="1" t="d">
        <v>2017-11-01</v>
      </c>
      <c r="D259">
        <v>82</v>
      </c>
      <c r="E259">
        <v>53.379104480000002</v>
      </c>
      <c r="F259">
        <v>4377.0865673600001</v>
      </c>
      <c r="G259" s="2" t="s">
        <v>13</v>
      </c>
      <c r="H259" s="2" t="s">
        <v>186</v>
      </c>
      <c r="I259">
        <v>22</v>
      </c>
      <c r="J259">
        <v>8</v>
      </c>
      <c r="K259">
        <v>4</v>
      </c>
      <c r="L259">
        <f t="shared" ref="L259:L322" si="8">IF(D259&gt;0, LN(D259), "")</f>
        <v>4.4067192472642533</v>
      </c>
      <c r="M259">
        <f t="shared" ref="M259:M322" si="9">LN(E259)</f>
        <v>3.9774193675149347</v>
      </c>
    </row>
    <row r="260" spans="1:13" x14ac:dyDescent="0.2">
      <c r="A260" t="s">
        <v>184</v>
      </c>
      <c r="B260" t="s">
        <v>25</v>
      </c>
      <c r="C260" s="1" t="d">
        <v>2017-12-01</v>
      </c>
      <c r="D260">
        <v>40</v>
      </c>
      <c r="E260">
        <v>55.770967740000003</v>
      </c>
      <c r="F260">
        <v>2230.8387096000001</v>
      </c>
      <c r="G260" s="2" t="s">
        <v>13</v>
      </c>
      <c r="H260" s="2" t="s">
        <v>187</v>
      </c>
      <c r="I260">
        <v>21</v>
      </c>
      <c r="J260">
        <v>10</v>
      </c>
      <c r="K260">
        <v>1</v>
      </c>
      <c r="L260">
        <f t="shared" si="8"/>
        <v>3.6888794541139363</v>
      </c>
      <c r="M260">
        <f t="shared" si="9"/>
        <v>4.0212534425908801</v>
      </c>
    </row>
    <row r="261" spans="1:13" x14ac:dyDescent="0.2">
      <c r="A261" t="s">
        <v>184</v>
      </c>
      <c r="B261" t="s">
        <v>25</v>
      </c>
      <c r="C261" s="1" t="d">
        <v>2018-01-01</v>
      </c>
      <c r="D261">
        <v>25</v>
      </c>
      <c r="E261">
        <v>49.9</v>
      </c>
      <c r="F261">
        <v>1247.5</v>
      </c>
      <c r="G261" s="2" t="s">
        <v>13</v>
      </c>
      <c r="H261" s="2" t="s">
        <v>54</v>
      </c>
      <c r="I261">
        <v>23</v>
      </c>
      <c r="J261">
        <v>8</v>
      </c>
      <c r="K261">
        <v>2</v>
      </c>
      <c r="L261">
        <f t="shared" si="8"/>
        <v>3.2188758248682006</v>
      </c>
      <c r="M261">
        <f t="shared" si="9"/>
        <v>3.9100210027574729</v>
      </c>
    </row>
    <row r="262" spans="1:13" x14ac:dyDescent="0.2">
      <c r="A262" t="s">
        <v>184</v>
      </c>
      <c r="B262" t="s">
        <v>25</v>
      </c>
      <c r="C262" s="1" t="d">
        <v>2018-02-01</v>
      </c>
      <c r="D262">
        <v>44</v>
      </c>
      <c r="E262">
        <v>51.024999999999999</v>
      </c>
      <c r="F262">
        <v>2245.1</v>
      </c>
      <c r="G262" s="2" t="s">
        <v>13</v>
      </c>
      <c r="H262" s="2" t="s">
        <v>188</v>
      </c>
      <c r="I262">
        <v>20</v>
      </c>
      <c r="J262">
        <v>8</v>
      </c>
      <c r="K262">
        <v>2</v>
      </c>
      <c r="L262">
        <f t="shared" si="8"/>
        <v>3.784189633918261</v>
      </c>
      <c r="M262">
        <f t="shared" si="9"/>
        <v>3.9323157086959086</v>
      </c>
    </row>
    <row r="263" spans="1:13" x14ac:dyDescent="0.2">
      <c r="A263" t="s">
        <v>184</v>
      </c>
      <c r="B263" t="s">
        <v>25</v>
      </c>
      <c r="C263" s="1" t="d">
        <v>2018-03-01</v>
      </c>
      <c r="D263">
        <v>25</v>
      </c>
      <c r="E263">
        <v>53.9</v>
      </c>
      <c r="F263">
        <v>1347.5</v>
      </c>
      <c r="G263" s="2" t="s">
        <v>13</v>
      </c>
      <c r="H263" s="2" t="s">
        <v>56</v>
      </c>
      <c r="I263">
        <v>22</v>
      </c>
      <c r="J263">
        <v>9</v>
      </c>
      <c r="K263">
        <v>1</v>
      </c>
      <c r="L263">
        <f t="shared" si="8"/>
        <v>3.2188758248682006</v>
      </c>
      <c r="M263">
        <f t="shared" si="9"/>
        <v>3.9871304779149512</v>
      </c>
    </row>
    <row r="264" spans="1:13" x14ac:dyDescent="0.2">
      <c r="A264" t="s">
        <v>184</v>
      </c>
      <c r="B264" t="s">
        <v>25</v>
      </c>
      <c r="C264" s="1" t="d">
        <v>2018-04-01</v>
      </c>
      <c r="D264">
        <v>20</v>
      </c>
      <c r="E264">
        <v>53.9</v>
      </c>
      <c r="F264">
        <v>1078</v>
      </c>
      <c r="G264" s="2" t="s">
        <v>13</v>
      </c>
      <c r="H264" s="2" t="s">
        <v>56</v>
      </c>
      <c r="I264">
        <v>21</v>
      </c>
      <c r="J264">
        <v>9</v>
      </c>
      <c r="K264">
        <v>1</v>
      </c>
      <c r="L264">
        <f t="shared" si="8"/>
        <v>2.9957322735539909</v>
      </c>
      <c r="M264">
        <f t="shared" si="9"/>
        <v>3.9871304779149512</v>
      </c>
    </row>
    <row r="265" spans="1:13" x14ac:dyDescent="0.2">
      <c r="A265" t="s">
        <v>184</v>
      </c>
      <c r="B265" t="s">
        <v>25</v>
      </c>
      <c r="C265" s="1" t="d">
        <v>2018-05-01</v>
      </c>
      <c r="D265">
        <v>17</v>
      </c>
      <c r="E265">
        <v>52.566666669999996</v>
      </c>
      <c r="F265">
        <v>893.63333338999996</v>
      </c>
      <c r="G265" s="2" t="s">
        <v>13</v>
      </c>
      <c r="H265" s="2" t="s">
        <v>189</v>
      </c>
      <c r="I265">
        <v>23</v>
      </c>
      <c r="J265">
        <v>8</v>
      </c>
      <c r="K265">
        <v>3</v>
      </c>
      <c r="L265">
        <f t="shared" si="8"/>
        <v>2.8332133440562162</v>
      </c>
      <c r="M265">
        <f t="shared" si="9"/>
        <v>3.9620822053642946</v>
      </c>
    </row>
    <row r="266" spans="1:13" x14ac:dyDescent="0.2">
      <c r="A266" t="s">
        <v>184</v>
      </c>
      <c r="B266" t="s">
        <v>25</v>
      </c>
      <c r="C266" s="1" t="d">
        <v>2018-06-01</v>
      </c>
      <c r="D266">
        <v>8</v>
      </c>
      <c r="E266">
        <v>49.9</v>
      </c>
      <c r="F266">
        <v>399.2</v>
      </c>
      <c r="G266" s="2" t="s">
        <v>13</v>
      </c>
      <c r="H266" s="2" t="s">
        <v>54</v>
      </c>
      <c r="I266">
        <v>21</v>
      </c>
      <c r="J266">
        <v>9</v>
      </c>
      <c r="K266">
        <v>0</v>
      </c>
      <c r="L266">
        <f t="shared" si="8"/>
        <v>2.0794415416798357</v>
      </c>
      <c r="M266">
        <f t="shared" si="9"/>
        <v>3.9100210027574729</v>
      </c>
    </row>
    <row r="267" spans="1:13" x14ac:dyDescent="0.2">
      <c r="A267" t="s">
        <v>184</v>
      </c>
      <c r="B267" t="s">
        <v>25</v>
      </c>
      <c r="C267" s="1" t="d">
        <v>2018-07-01</v>
      </c>
      <c r="D267">
        <v>9</v>
      </c>
      <c r="E267">
        <v>49.9</v>
      </c>
      <c r="F267" s="2" t="s">
        <v>190</v>
      </c>
      <c r="G267" s="2" t="s">
        <v>13</v>
      </c>
      <c r="H267" s="2" t="s">
        <v>54</v>
      </c>
      <c r="I267">
        <v>22</v>
      </c>
      <c r="J267">
        <v>9</v>
      </c>
      <c r="K267">
        <v>1</v>
      </c>
      <c r="L267">
        <f t="shared" si="8"/>
        <v>2.1972245773362196</v>
      </c>
      <c r="M267">
        <f t="shared" si="9"/>
        <v>3.9100210027574729</v>
      </c>
    </row>
    <row r="268" spans="1:13" x14ac:dyDescent="0.2">
      <c r="A268" t="s">
        <v>184</v>
      </c>
      <c r="B268" t="s">
        <v>25</v>
      </c>
      <c r="C268" s="1" t="d">
        <v>2018-08-01</v>
      </c>
      <c r="D268">
        <v>7</v>
      </c>
      <c r="E268">
        <v>49.9</v>
      </c>
      <c r="F268">
        <v>349.3</v>
      </c>
      <c r="G268" s="2" t="s">
        <v>13</v>
      </c>
      <c r="H268" s="2" t="s">
        <v>54</v>
      </c>
      <c r="I268">
        <v>23</v>
      </c>
      <c r="J268">
        <v>8</v>
      </c>
      <c r="K268">
        <v>1</v>
      </c>
      <c r="L268">
        <f t="shared" si="8"/>
        <v>1.9459101490553132</v>
      </c>
      <c r="M268">
        <f t="shared" si="9"/>
        <v>3.9100210027574729</v>
      </c>
    </row>
    <row r="269" spans="1:13" x14ac:dyDescent="0.2">
      <c r="A269" t="s">
        <v>191</v>
      </c>
      <c r="B269" t="s">
        <v>156</v>
      </c>
      <c r="C269" s="1" t="d">
        <v>2017-06-01</v>
      </c>
      <c r="D269">
        <v>4</v>
      </c>
      <c r="E269">
        <v>163</v>
      </c>
      <c r="F269">
        <v>652</v>
      </c>
      <c r="G269" s="2" t="s">
        <v>47</v>
      </c>
      <c r="H269" s="2" t="s">
        <v>192</v>
      </c>
      <c r="I269">
        <v>22</v>
      </c>
      <c r="J269">
        <v>8</v>
      </c>
      <c r="K269">
        <v>1</v>
      </c>
      <c r="L269">
        <f t="shared" si="8"/>
        <v>1.3862943611198906</v>
      </c>
      <c r="M269">
        <f t="shared" si="9"/>
        <v>5.0937502008067623</v>
      </c>
    </row>
    <row r="270" spans="1:13" x14ac:dyDescent="0.2">
      <c r="A270" t="s">
        <v>191</v>
      </c>
      <c r="B270" t="s">
        <v>156</v>
      </c>
      <c r="C270" s="1" t="d">
        <v>2017-07-01</v>
      </c>
      <c r="D270">
        <v>11</v>
      </c>
      <c r="E270">
        <v>161.5909091</v>
      </c>
      <c r="F270">
        <v>1777.5000001000001</v>
      </c>
      <c r="G270" s="2" t="s">
        <v>47</v>
      </c>
      <c r="H270" s="2" t="s">
        <v>193</v>
      </c>
      <c r="I270">
        <v>21</v>
      </c>
      <c r="J270">
        <v>10</v>
      </c>
      <c r="K270">
        <v>1</v>
      </c>
      <c r="L270">
        <f t="shared" si="8"/>
        <v>2.3978952727983707</v>
      </c>
      <c r="M270">
        <f t="shared" si="9"/>
        <v>5.0850678889352841</v>
      </c>
    </row>
    <row r="271" spans="1:13" x14ac:dyDescent="0.2">
      <c r="A271" t="s">
        <v>191</v>
      </c>
      <c r="B271" t="s">
        <v>156</v>
      </c>
      <c r="C271" s="1" t="d">
        <v>2017-08-01</v>
      </c>
      <c r="D271">
        <v>13</v>
      </c>
      <c r="E271">
        <v>160.66923080000001</v>
      </c>
      <c r="F271">
        <v>2088.7000004000001</v>
      </c>
      <c r="G271" s="2" t="s">
        <v>47</v>
      </c>
      <c r="H271" s="2" t="s">
        <v>194</v>
      </c>
      <c r="I271">
        <v>23</v>
      </c>
      <c r="J271">
        <v>8</v>
      </c>
      <c r="K271">
        <v>1</v>
      </c>
      <c r="L271">
        <f t="shared" si="8"/>
        <v>2.5649493574615367</v>
      </c>
      <c r="M271">
        <f t="shared" si="9"/>
        <v>5.0793477845912411</v>
      </c>
    </row>
    <row r="272" spans="1:13" x14ac:dyDescent="0.2">
      <c r="A272" t="s">
        <v>191</v>
      </c>
      <c r="B272" t="s">
        <v>156</v>
      </c>
      <c r="C272" s="1" t="d">
        <v>2017-09-01</v>
      </c>
      <c r="D272">
        <v>18</v>
      </c>
      <c r="E272">
        <v>148.7785714</v>
      </c>
      <c r="F272">
        <v>2678.0142851999999</v>
      </c>
      <c r="G272" s="2" t="s">
        <v>47</v>
      </c>
      <c r="H272" s="2" t="s">
        <v>195</v>
      </c>
      <c r="I272">
        <v>21</v>
      </c>
      <c r="J272">
        <v>9</v>
      </c>
      <c r="K272">
        <v>1</v>
      </c>
      <c r="L272">
        <f t="shared" si="8"/>
        <v>2.8903717578961645</v>
      </c>
      <c r="M272">
        <f t="shared" si="9"/>
        <v>5.0024591026200387</v>
      </c>
    </row>
    <row r="273" spans="1:13" x14ac:dyDescent="0.2">
      <c r="A273" t="s">
        <v>191</v>
      </c>
      <c r="B273" t="s">
        <v>156</v>
      </c>
      <c r="C273" s="1" t="d">
        <v>2017-10-01</v>
      </c>
      <c r="D273">
        <v>1</v>
      </c>
      <c r="E273">
        <v>134.9</v>
      </c>
      <c r="F273">
        <v>134.9</v>
      </c>
      <c r="G273" s="2" t="s">
        <v>47</v>
      </c>
      <c r="H273" s="2" t="s">
        <v>196</v>
      </c>
      <c r="I273">
        <v>22</v>
      </c>
      <c r="J273">
        <v>9</v>
      </c>
      <c r="K273">
        <v>2</v>
      </c>
      <c r="L273">
        <f t="shared" si="8"/>
        <v>0</v>
      </c>
      <c r="M273">
        <f t="shared" si="9"/>
        <v>4.9045337632137098</v>
      </c>
    </row>
    <row r="274" spans="1:13" x14ac:dyDescent="0.2">
      <c r="A274" t="s">
        <v>191</v>
      </c>
      <c r="B274" t="s">
        <v>156</v>
      </c>
      <c r="C274" s="1" t="d">
        <v>2017-11-01</v>
      </c>
      <c r="D274">
        <v>15</v>
      </c>
      <c r="E274">
        <v>133</v>
      </c>
      <c r="F274">
        <v>1995</v>
      </c>
      <c r="G274" s="2" t="s">
        <v>47</v>
      </c>
      <c r="H274" s="2" t="s">
        <v>197</v>
      </c>
      <c r="I274">
        <v>22</v>
      </c>
      <c r="J274">
        <v>8</v>
      </c>
      <c r="K274">
        <v>4</v>
      </c>
      <c r="L274">
        <f t="shared" si="8"/>
        <v>2.7080502011022101</v>
      </c>
      <c r="M274">
        <f t="shared" si="9"/>
        <v>4.8903491282217537</v>
      </c>
    </row>
    <row r="275" spans="1:13" x14ac:dyDescent="0.2">
      <c r="A275" t="s">
        <v>191</v>
      </c>
      <c r="B275" t="s">
        <v>156</v>
      </c>
      <c r="C275" s="1" t="d">
        <v>2017-12-01</v>
      </c>
      <c r="D275">
        <v>4</v>
      </c>
      <c r="E275">
        <v>149</v>
      </c>
      <c r="F275">
        <v>596</v>
      </c>
      <c r="G275" s="2" t="s">
        <v>47</v>
      </c>
      <c r="H275" s="2" t="s">
        <v>162</v>
      </c>
      <c r="I275">
        <v>21</v>
      </c>
      <c r="J275">
        <v>10</v>
      </c>
      <c r="K275">
        <v>1</v>
      </c>
      <c r="L275">
        <f t="shared" si="8"/>
        <v>1.3862943611198906</v>
      </c>
      <c r="M275">
        <f t="shared" si="9"/>
        <v>5.0039463059454592</v>
      </c>
    </row>
    <row r="276" spans="1:13" x14ac:dyDescent="0.2">
      <c r="A276" t="s">
        <v>191</v>
      </c>
      <c r="B276" t="s">
        <v>156</v>
      </c>
      <c r="C276" s="1" t="d">
        <v>2018-02-01</v>
      </c>
      <c r="D276">
        <v>6</v>
      </c>
      <c r="E276">
        <v>128.2416667</v>
      </c>
      <c r="F276">
        <v>769.45000019999998</v>
      </c>
      <c r="G276" s="2" t="s">
        <v>47</v>
      </c>
      <c r="H276" s="2" t="s">
        <v>198</v>
      </c>
      <c r="I276">
        <v>20</v>
      </c>
      <c r="J276">
        <v>8</v>
      </c>
      <c r="K276">
        <v>2</v>
      </c>
      <c r="L276">
        <f t="shared" si="8"/>
        <v>1.791759469228055</v>
      </c>
      <c r="M276">
        <f t="shared" si="9"/>
        <v>4.8539165049417319</v>
      </c>
    </row>
    <row r="277" spans="1:13" x14ac:dyDescent="0.2">
      <c r="A277" t="s">
        <v>191</v>
      </c>
      <c r="B277" t="s">
        <v>156</v>
      </c>
      <c r="C277" s="1" t="d">
        <v>2018-03-01</v>
      </c>
      <c r="D277">
        <v>31</v>
      </c>
      <c r="E277">
        <v>117.44129030000001</v>
      </c>
      <c r="F277">
        <v>3640.6799993</v>
      </c>
      <c r="G277" s="2" t="s">
        <v>47</v>
      </c>
      <c r="H277" s="2" t="s">
        <v>199</v>
      </c>
      <c r="I277">
        <v>22</v>
      </c>
      <c r="J277">
        <v>9</v>
      </c>
      <c r="K277">
        <v>1</v>
      </c>
      <c r="L277">
        <f t="shared" si="8"/>
        <v>3.4339872044851463</v>
      </c>
      <c r="M277">
        <f t="shared" si="9"/>
        <v>4.7659385516927708</v>
      </c>
    </row>
    <row r="278" spans="1:13" x14ac:dyDescent="0.2">
      <c r="A278" t="s">
        <v>191</v>
      </c>
      <c r="B278" t="s">
        <v>156</v>
      </c>
      <c r="C278" s="1" t="d">
        <v>2018-04-01</v>
      </c>
      <c r="D278">
        <v>85</v>
      </c>
      <c r="E278">
        <v>105.648625</v>
      </c>
      <c r="F278">
        <v>8980.1331250000003</v>
      </c>
      <c r="G278" s="2" t="s">
        <v>47</v>
      </c>
      <c r="H278" s="2" t="s">
        <v>200</v>
      </c>
      <c r="I278">
        <v>21</v>
      </c>
      <c r="J278">
        <v>9</v>
      </c>
      <c r="K278">
        <v>1</v>
      </c>
      <c r="L278">
        <f t="shared" si="8"/>
        <v>4.4426512564903167</v>
      </c>
      <c r="M278">
        <f t="shared" si="9"/>
        <v>4.6601187293062907</v>
      </c>
    </row>
    <row r="279" spans="1:13" x14ac:dyDescent="0.2">
      <c r="A279" t="s">
        <v>191</v>
      </c>
      <c r="B279" t="s">
        <v>156</v>
      </c>
      <c r="C279" s="1" t="d">
        <v>2018-05-01</v>
      </c>
      <c r="D279">
        <v>114</v>
      </c>
      <c r="E279">
        <v>103.79252339999999</v>
      </c>
      <c r="F279">
        <v>11832.347667599999</v>
      </c>
      <c r="G279" s="2" t="s">
        <v>47</v>
      </c>
      <c r="H279" s="2" t="s">
        <v>201</v>
      </c>
      <c r="I279">
        <v>23</v>
      </c>
      <c r="J279">
        <v>8</v>
      </c>
      <c r="K279">
        <v>3</v>
      </c>
      <c r="L279">
        <f t="shared" si="8"/>
        <v>4.7361984483944957</v>
      </c>
      <c r="M279">
        <f t="shared" si="9"/>
        <v>4.6423939392358484</v>
      </c>
    </row>
    <row r="280" spans="1:13" x14ac:dyDescent="0.2">
      <c r="A280" t="s">
        <v>191</v>
      </c>
      <c r="B280" t="s">
        <v>156</v>
      </c>
      <c r="C280" s="1" t="d">
        <v>2018-06-01</v>
      </c>
      <c r="D280">
        <v>9</v>
      </c>
      <c r="E280">
        <v>119</v>
      </c>
      <c r="F280">
        <v>1071</v>
      </c>
      <c r="G280" s="2" t="s">
        <v>47</v>
      </c>
      <c r="H280" s="2" t="s">
        <v>202</v>
      </c>
      <c r="I280">
        <v>21</v>
      </c>
      <c r="J280">
        <v>9</v>
      </c>
      <c r="K280">
        <v>0</v>
      </c>
      <c r="L280">
        <f t="shared" si="8"/>
        <v>2.1972245773362196</v>
      </c>
      <c r="M280">
        <f t="shared" si="9"/>
        <v>4.7791234931115296</v>
      </c>
    </row>
    <row r="281" spans="1:13" x14ac:dyDescent="0.2">
      <c r="A281" t="s">
        <v>191</v>
      </c>
      <c r="B281" t="s">
        <v>156</v>
      </c>
      <c r="C281" s="1" t="d">
        <v>2018-07-01</v>
      </c>
      <c r="D281">
        <v>11</v>
      </c>
      <c r="E281">
        <v>118.3636364</v>
      </c>
      <c r="F281">
        <v>1302.0000004000001</v>
      </c>
      <c r="G281" s="2" t="s">
        <v>47</v>
      </c>
      <c r="H281" s="2" t="s">
        <v>203</v>
      </c>
      <c r="I281">
        <v>22</v>
      </c>
      <c r="J281">
        <v>9</v>
      </c>
      <c r="K281">
        <v>1</v>
      </c>
      <c r="L281">
        <f t="shared" si="8"/>
        <v>2.3978952727983707</v>
      </c>
      <c r="M281">
        <f t="shared" si="9"/>
        <v>4.7737615502773636</v>
      </c>
    </row>
    <row r="282" spans="1:13" x14ac:dyDescent="0.2">
      <c r="A282" t="s">
        <v>191</v>
      </c>
      <c r="B282" t="s">
        <v>156</v>
      </c>
      <c r="C282" s="1" t="d">
        <v>2018-08-01</v>
      </c>
      <c r="D282">
        <v>1</v>
      </c>
      <c r="E282">
        <v>112</v>
      </c>
      <c r="F282">
        <v>112</v>
      </c>
      <c r="G282" s="2" t="s">
        <v>47</v>
      </c>
      <c r="H282" s="2" t="s">
        <v>204</v>
      </c>
      <c r="I282">
        <v>23</v>
      </c>
      <c r="J282">
        <v>8</v>
      </c>
      <c r="K282">
        <v>1</v>
      </c>
      <c r="L282">
        <f t="shared" si="8"/>
        <v>0</v>
      </c>
      <c r="M282">
        <f t="shared" si="9"/>
        <v>4.7184988712950942</v>
      </c>
    </row>
    <row r="283" spans="1:13" x14ac:dyDescent="0.2">
      <c r="A283" t="s">
        <v>205</v>
      </c>
      <c r="B283" t="s">
        <v>74</v>
      </c>
      <c r="C283" s="1" t="d">
        <v>2017-09-01</v>
      </c>
      <c r="D283">
        <v>1</v>
      </c>
      <c r="E283">
        <v>29.5</v>
      </c>
      <c r="F283">
        <v>29.5</v>
      </c>
      <c r="G283">
        <v>4.2</v>
      </c>
      <c r="H283" s="2" t="s">
        <v>206</v>
      </c>
      <c r="I283">
        <v>21</v>
      </c>
      <c r="J283">
        <v>9</v>
      </c>
      <c r="K283">
        <v>1</v>
      </c>
      <c r="L283">
        <f t="shared" si="8"/>
        <v>0</v>
      </c>
      <c r="M283">
        <f t="shared" si="9"/>
        <v>3.3843902633457743</v>
      </c>
    </row>
    <row r="284" spans="1:13" x14ac:dyDescent="0.2">
      <c r="A284" t="s">
        <v>205</v>
      </c>
      <c r="B284" t="s">
        <v>74</v>
      </c>
      <c r="C284" s="1" t="d">
        <v>2018-01-01</v>
      </c>
      <c r="D284">
        <v>76</v>
      </c>
      <c r="E284">
        <v>29.5</v>
      </c>
      <c r="F284">
        <v>2242</v>
      </c>
      <c r="G284" s="2" t="s">
        <v>75</v>
      </c>
      <c r="H284" s="2" t="s">
        <v>207</v>
      </c>
      <c r="I284">
        <v>23</v>
      </c>
      <c r="J284">
        <v>8</v>
      </c>
      <c r="K284">
        <v>2</v>
      </c>
      <c r="L284">
        <f t="shared" si="8"/>
        <v>4.3307333402863311</v>
      </c>
      <c r="M284">
        <f t="shared" si="9"/>
        <v>3.3843902633457743</v>
      </c>
    </row>
    <row r="285" spans="1:13" x14ac:dyDescent="0.2">
      <c r="A285" t="s">
        <v>205</v>
      </c>
      <c r="B285" t="s">
        <v>74</v>
      </c>
      <c r="C285" s="1" t="d">
        <v>2018-03-01</v>
      </c>
      <c r="D285">
        <v>26</v>
      </c>
      <c r="E285">
        <v>35</v>
      </c>
      <c r="F285">
        <v>910</v>
      </c>
      <c r="G285" s="2" t="s">
        <v>75</v>
      </c>
      <c r="H285" s="2" t="s">
        <v>208</v>
      </c>
      <c r="I285">
        <v>22</v>
      </c>
      <c r="J285">
        <v>9</v>
      </c>
      <c r="K285">
        <v>1</v>
      </c>
      <c r="L285">
        <f t="shared" si="8"/>
        <v>3.2580965380214821</v>
      </c>
      <c r="M285">
        <f t="shared" si="9"/>
        <v>3.5553480614894135</v>
      </c>
    </row>
    <row r="286" spans="1:13" x14ac:dyDescent="0.2">
      <c r="A286" t="s">
        <v>205</v>
      </c>
      <c r="B286" t="s">
        <v>74</v>
      </c>
      <c r="C286" s="1" t="d">
        <v>2018-04-01</v>
      </c>
      <c r="D286">
        <v>4</v>
      </c>
      <c r="E286">
        <v>35</v>
      </c>
      <c r="F286">
        <v>140</v>
      </c>
      <c r="G286" s="2" t="s">
        <v>75</v>
      </c>
      <c r="H286" s="2" t="s">
        <v>208</v>
      </c>
      <c r="I286">
        <v>21</v>
      </c>
      <c r="J286">
        <v>9</v>
      </c>
      <c r="K286">
        <v>1</v>
      </c>
      <c r="L286">
        <f t="shared" si="8"/>
        <v>1.3862943611198906</v>
      </c>
      <c r="M286">
        <f t="shared" si="9"/>
        <v>3.5553480614894135</v>
      </c>
    </row>
    <row r="287" spans="1:13" x14ac:dyDescent="0.2">
      <c r="A287" t="s">
        <v>205</v>
      </c>
      <c r="B287" t="s">
        <v>74</v>
      </c>
      <c r="C287" s="1" t="d">
        <v>2018-05-01</v>
      </c>
      <c r="D287">
        <v>4</v>
      </c>
      <c r="E287">
        <v>35</v>
      </c>
      <c r="F287">
        <v>140</v>
      </c>
      <c r="G287" s="2" t="s">
        <v>209</v>
      </c>
      <c r="H287">
        <v>8.203125</v>
      </c>
      <c r="I287">
        <v>23</v>
      </c>
      <c r="J287">
        <v>8</v>
      </c>
      <c r="K287">
        <v>3</v>
      </c>
      <c r="L287">
        <f t="shared" si="8"/>
        <v>1.3862943611198906</v>
      </c>
      <c r="M287">
        <f t="shared" si="9"/>
        <v>3.5553480614894135</v>
      </c>
    </row>
    <row r="288" spans="1:13" x14ac:dyDescent="0.2">
      <c r="A288" t="s">
        <v>205</v>
      </c>
      <c r="B288" t="s">
        <v>74</v>
      </c>
      <c r="C288" s="1" t="d">
        <v>2018-06-01</v>
      </c>
      <c r="D288">
        <v>2</v>
      </c>
      <c r="E288">
        <v>65</v>
      </c>
      <c r="F288">
        <v>130</v>
      </c>
      <c r="G288" s="2" t="s">
        <v>209</v>
      </c>
      <c r="H288">
        <v>15.234375</v>
      </c>
      <c r="I288">
        <v>21</v>
      </c>
      <c r="J288">
        <v>9</v>
      </c>
      <c r="K288">
        <v>0</v>
      </c>
      <c r="L288">
        <f t="shared" si="8"/>
        <v>0.69314718055994529</v>
      </c>
      <c r="M288">
        <f t="shared" si="9"/>
        <v>4.1743872698956368</v>
      </c>
    </row>
    <row r="289" spans="1:13" x14ac:dyDescent="0.2">
      <c r="A289" t="s">
        <v>205</v>
      </c>
      <c r="B289" t="s">
        <v>74</v>
      </c>
      <c r="C289" s="1" t="d">
        <v>2018-08-01</v>
      </c>
      <c r="D289">
        <v>1</v>
      </c>
      <c r="E289">
        <v>65</v>
      </c>
      <c r="F289">
        <v>65</v>
      </c>
      <c r="G289" s="2" t="s">
        <v>209</v>
      </c>
      <c r="H289">
        <v>15.234375</v>
      </c>
      <c r="I289">
        <v>23</v>
      </c>
      <c r="J289">
        <v>8</v>
      </c>
      <c r="K289">
        <v>1</v>
      </c>
      <c r="L289">
        <f t="shared" si="8"/>
        <v>0</v>
      </c>
      <c r="M289">
        <f t="shared" si="9"/>
        <v>4.1743872698956368</v>
      </c>
    </row>
    <row r="290" spans="1:13" x14ac:dyDescent="0.2">
      <c r="A290" t="s">
        <v>210</v>
      </c>
      <c r="B290" t="s">
        <v>85</v>
      </c>
      <c r="C290" s="1" t="d">
        <v>2017-08-01</v>
      </c>
      <c r="D290">
        <v>1</v>
      </c>
      <c r="E290">
        <v>142.5</v>
      </c>
      <c r="F290">
        <v>142.5</v>
      </c>
      <c r="G290" s="2" t="s">
        <v>87</v>
      </c>
      <c r="H290" s="2" t="s">
        <v>211</v>
      </c>
      <c r="I290">
        <v>23</v>
      </c>
      <c r="J290">
        <v>8</v>
      </c>
      <c r="K290">
        <v>1</v>
      </c>
      <c r="L290">
        <f t="shared" si="8"/>
        <v>0</v>
      </c>
      <c r="M290">
        <f t="shared" si="9"/>
        <v>4.9593419997087054</v>
      </c>
    </row>
    <row r="291" spans="1:13" x14ac:dyDescent="0.2">
      <c r="A291" t="s">
        <v>210</v>
      </c>
      <c r="B291" t="s">
        <v>85</v>
      </c>
      <c r="C291" s="1" t="d">
        <v>2017-09-01</v>
      </c>
      <c r="D291">
        <v>1</v>
      </c>
      <c r="E291">
        <v>142.5</v>
      </c>
      <c r="F291">
        <v>142.5</v>
      </c>
      <c r="G291" s="2" t="s">
        <v>87</v>
      </c>
      <c r="H291" s="2" t="s">
        <v>211</v>
      </c>
      <c r="I291">
        <v>21</v>
      </c>
      <c r="J291">
        <v>9</v>
      </c>
      <c r="K291">
        <v>1</v>
      </c>
      <c r="L291">
        <f t="shared" si="8"/>
        <v>0</v>
      </c>
      <c r="M291">
        <f t="shared" si="9"/>
        <v>4.9593419997087054</v>
      </c>
    </row>
    <row r="292" spans="1:13" x14ac:dyDescent="0.2">
      <c r="A292" t="s">
        <v>210</v>
      </c>
      <c r="B292" t="s">
        <v>85</v>
      </c>
      <c r="C292" s="1" t="d">
        <v>2017-10-01</v>
      </c>
      <c r="D292">
        <v>2</v>
      </c>
      <c r="E292">
        <v>142.5</v>
      </c>
      <c r="F292">
        <v>285</v>
      </c>
      <c r="G292" s="2" t="s">
        <v>87</v>
      </c>
      <c r="H292" s="2" t="s">
        <v>211</v>
      </c>
      <c r="I292">
        <v>22</v>
      </c>
      <c r="J292">
        <v>9</v>
      </c>
      <c r="K292">
        <v>2</v>
      </c>
      <c r="L292">
        <f t="shared" si="8"/>
        <v>0.69314718055994529</v>
      </c>
      <c r="M292">
        <f t="shared" si="9"/>
        <v>4.9593419997087054</v>
      </c>
    </row>
    <row r="293" spans="1:13" x14ac:dyDescent="0.2">
      <c r="A293" t="s">
        <v>210</v>
      </c>
      <c r="B293" t="s">
        <v>85</v>
      </c>
      <c r="C293" s="1" t="d">
        <v>2017-11-01</v>
      </c>
      <c r="D293">
        <v>8</v>
      </c>
      <c r="E293">
        <v>118.05</v>
      </c>
      <c r="F293">
        <v>944.4</v>
      </c>
      <c r="G293" s="2" t="s">
        <v>87</v>
      </c>
      <c r="H293" s="2" t="s">
        <v>212</v>
      </c>
      <c r="I293">
        <v>22</v>
      </c>
      <c r="J293">
        <v>8</v>
      </c>
      <c r="K293">
        <v>4</v>
      </c>
      <c r="L293">
        <f t="shared" si="8"/>
        <v>2.0794415416798357</v>
      </c>
      <c r="M293">
        <f t="shared" si="9"/>
        <v>4.7711082635315218</v>
      </c>
    </row>
    <row r="294" spans="1:13" x14ac:dyDescent="0.2">
      <c r="A294" t="s">
        <v>210</v>
      </c>
      <c r="B294" t="s">
        <v>85</v>
      </c>
      <c r="C294" s="1" t="d">
        <v>2017-12-01</v>
      </c>
      <c r="D294">
        <v>12</v>
      </c>
      <c r="E294">
        <v>118</v>
      </c>
      <c r="F294">
        <v>1416</v>
      </c>
      <c r="G294" s="2" t="s">
        <v>87</v>
      </c>
      <c r="H294" s="2" t="s">
        <v>213</v>
      </c>
      <c r="I294">
        <v>21</v>
      </c>
      <c r="J294">
        <v>10</v>
      </c>
      <c r="K294">
        <v>1</v>
      </c>
      <c r="L294">
        <f t="shared" si="8"/>
        <v>2.4849066497880004</v>
      </c>
      <c r="M294">
        <f t="shared" si="9"/>
        <v>4.7706846244656651</v>
      </c>
    </row>
    <row r="295" spans="1:13" x14ac:dyDescent="0.2">
      <c r="A295" t="s">
        <v>210</v>
      </c>
      <c r="B295" t="s">
        <v>85</v>
      </c>
      <c r="C295" s="1" t="d">
        <v>2018-01-01</v>
      </c>
      <c r="D295">
        <v>6</v>
      </c>
      <c r="E295">
        <v>117.9</v>
      </c>
      <c r="F295" s="2" t="s">
        <v>214</v>
      </c>
      <c r="G295" s="2" t="s">
        <v>87</v>
      </c>
      <c r="H295" s="2" t="s">
        <v>215</v>
      </c>
      <c r="I295">
        <v>23</v>
      </c>
      <c r="J295">
        <v>8</v>
      </c>
      <c r="K295">
        <v>2</v>
      </c>
      <c r="L295">
        <f t="shared" si="8"/>
        <v>1.791759469228055</v>
      </c>
      <c r="M295">
        <f t="shared" si="9"/>
        <v>4.7698368075433253</v>
      </c>
    </row>
    <row r="296" spans="1:13" x14ac:dyDescent="0.2">
      <c r="A296" t="s">
        <v>210</v>
      </c>
      <c r="B296" t="s">
        <v>85</v>
      </c>
      <c r="C296" s="1" t="d">
        <v>2018-02-01</v>
      </c>
      <c r="D296">
        <v>11</v>
      </c>
      <c r="E296">
        <v>117.8888889</v>
      </c>
      <c r="F296">
        <v>1296.7777779</v>
      </c>
      <c r="G296" s="2" t="s">
        <v>87</v>
      </c>
      <c r="H296" s="2" t="s">
        <v>216</v>
      </c>
      <c r="I296">
        <v>20</v>
      </c>
      <c r="J296">
        <v>8</v>
      </c>
      <c r="K296">
        <v>2</v>
      </c>
      <c r="L296">
        <f t="shared" si="8"/>
        <v>2.3978952727983707</v>
      </c>
      <c r="M296">
        <f t="shared" si="9"/>
        <v>4.7697425613720146</v>
      </c>
    </row>
    <row r="297" spans="1:13" x14ac:dyDescent="0.2">
      <c r="A297" t="s">
        <v>210</v>
      </c>
      <c r="B297" t="s">
        <v>85</v>
      </c>
      <c r="C297" s="1" t="d">
        <v>2018-03-01</v>
      </c>
      <c r="D297">
        <v>4</v>
      </c>
      <c r="E297">
        <v>117.7</v>
      </c>
      <c r="F297">
        <v>470.8</v>
      </c>
      <c r="G297" s="2" t="s">
        <v>87</v>
      </c>
      <c r="H297" s="2" t="s">
        <v>217</v>
      </c>
      <c r="I297">
        <v>22</v>
      </c>
      <c r="J297">
        <v>9</v>
      </c>
      <c r="K297">
        <v>1</v>
      </c>
      <c r="L297">
        <f t="shared" si="8"/>
        <v>1.3862943611198906</v>
      </c>
      <c r="M297">
        <f t="shared" si="9"/>
        <v>4.7681390142662314</v>
      </c>
    </row>
    <row r="298" spans="1:13" x14ac:dyDescent="0.2">
      <c r="A298" t="s">
        <v>210</v>
      </c>
      <c r="B298" t="s">
        <v>85</v>
      </c>
      <c r="C298" s="1" t="d">
        <v>2018-04-01</v>
      </c>
      <c r="D298">
        <v>8</v>
      </c>
      <c r="E298">
        <v>117.97499999999999</v>
      </c>
      <c r="F298">
        <v>943.8</v>
      </c>
      <c r="G298" s="2" t="s">
        <v>87</v>
      </c>
      <c r="H298" s="2" t="s">
        <v>218</v>
      </c>
      <c r="I298">
        <v>21</v>
      </c>
      <c r="J298">
        <v>9</v>
      </c>
      <c r="K298">
        <v>1</v>
      </c>
      <c r="L298">
        <f t="shared" si="8"/>
        <v>2.0794415416798357</v>
      </c>
      <c r="M298">
        <f t="shared" si="9"/>
        <v>4.7704727376124509</v>
      </c>
    </row>
    <row r="299" spans="1:13" x14ac:dyDescent="0.2">
      <c r="A299" t="s">
        <v>210</v>
      </c>
      <c r="B299" t="s">
        <v>85</v>
      </c>
      <c r="C299" s="1" t="d">
        <v>2018-05-01</v>
      </c>
      <c r="D299">
        <v>17</v>
      </c>
      <c r="E299">
        <v>119.9</v>
      </c>
      <c r="F299" s="2" t="s">
        <v>219</v>
      </c>
      <c r="G299" s="2" t="s">
        <v>209</v>
      </c>
      <c r="H299">
        <v>28.1015625</v>
      </c>
      <c r="I299">
        <v>23</v>
      </c>
      <c r="J299">
        <v>8</v>
      </c>
      <c r="K299">
        <v>3</v>
      </c>
      <c r="L299">
        <f t="shared" si="8"/>
        <v>2.8332133440562162</v>
      </c>
      <c r="M299">
        <f t="shared" si="9"/>
        <v>4.7866580620334682</v>
      </c>
    </row>
    <row r="300" spans="1:13" x14ac:dyDescent="0.2">
      <c r="A300" t="s">
        <v>210</v>
      </c>
      <c r="B300" t="s">
        <v>85</v>
      </c>
      <c r="C300" s="1" t="d">
        <v>2018-06-01</v>
      </c>
      <c r="D300">
        <v>14</v>
      </c>
      <c r="E300">
        <v>119.1785714</v>
      </c>
      <c r="F300">
        <v>1668.4999995999999</v>
      </c>
      <c r="G300" s="2" t="s">
        <v>209</v>
      </c>
      <c r="H300">
        <v>27.932477671874999</v>
      </c>
      <c r="I300">
        <v>21</v>
      </c>
      <c r="J300">
        <v>9</v>
      </c>
      <c r="K300">
        <v>0</v>
      </c>
      <c r="L300">
        <f t="shared" si="8"/>
        <v>2.6390573296152584</v>
      </c>
      <c r="M300">
        <f t="shared" si="9"/>
        <v>4.7806229683364334</v>
      </c>
    </row>
    <row r="301" spans="1:13" x14ac:dyDescent="0.2">
      <c r="A301" t="s">
        <v>210</v>
      </c>
      <c r="B301" t="s">
        <v>85</v>
      </c>
      <c r="C301" s="1" t="d">
        <v>2018-07-01</v>
      </c>
      <c r="D301">
        <v>5</v>
      </c>
      <c r="E301">
        <v>118.7</v>
      </c>
      <c r="F301">
        <v>593.5</v>
      </c>
      <c r="G301" s="2" t="s">
        <v>87</v>
      </c>
      <c r="H301" s="2" t="s">
        <v>220</v>
      </c>
      <c r="I301">
        <v>22</v>
      </c>
      <c r="J301">
        <v>9</v>
      </c>
      <c r="K301">
        <v>1</v>
      </c>
      <c r="L301">
        <f t="shared" si="8"/>
        <v>1.6094379124341003</v>
      </c>
      <c r="M301">
        <f t="shared" si="9"/>
        <v>4.7765993016156223</v>
      </c>
    </row>
    <row r="302" spans="1:13" x14ac:dyDescent="0.2">
      <c r="A302" t="s">
        <v>210</v>
      </c>
      <c r="B302" t="s">
        <v>85</v>
      </c>
      <c r="C302" s="1" t="d">
        <v>2018-08-01</v>
      </c>
      <c r="D302">
        <v>17</v>
      </c>
      <c r="E302">
        <v>116.9066667</v>
      </c>
      <c r="F302">
        <v>1987.4133339</v>
      </c>
      <c r="G302" s="2" t="s">
        <v>87</v>
      </c>
      <c r="H302" s="2" t="s">
        <v>221</v>
      </c>
      <c r="I302">
        <v>23</v>
      </c>
      <c r="J302">
        <v>8</v>
      </c>
      <c r="K302">
        <v>1</v>
      </c>
      <c r="L302">
        <f t="shared" si="8"/>
        <v>2.8332133440562162</v>
      </c>
      <c r="M302">
        <f t="shared" si="9"/>
        <v>4.7613758959366139</v>
      </c>
    </row>
    <row r="303" spans="1:13" x14ac:dyDescent="0.2">
      <c r="A303" t="s">
        <v>222</v>
      </c>
      <c r="B303" t="s">
        <v>74</v>
      </c>
      <c r="C303" s="1" t="d">
        <v>2017-03-01</v>
      </c>
      <c r="D303">
        <v>8</v>
      </c>
      <c r="E303">
        <v>129.99</v>
      </c>
      <c r="F303">
        <v>1039.92</v>
      </c>
      <c r="G303" s="2" t="s">
        <v>75</v>
      </c>
      <c r="H303">
        <v>31.197600000000001</v>
      </c>
      <c r="I303">
        <v>23</v>
      </c>
      <c r="J303">
        <v>8</v>
      </c>
      <c r="K303">
        <v>1</v>
      </c>
      <c r="L303">
        <f t="shared" si="8"/>
        <v>2.0794415416798357</v>
      </c>
      <c r="M303">
        <f t="shared" si="9"/>
        <v>4.8674575244199279</v>
      </c>
    </row>
    <row r="304" spans="1:13" x14ac:dyDescent="0.2">
      <c r="A304" t="s">
        <v>222</v>
      </c>
      <c r="B304" t="s">
        <v>74</v>
      </c>
      <c r="C304" s="1" t="d">
        <v>2017-04-01</v>
      </c>
      <c r="D304">
        <v>14</v>
      </c>
      <c r="E304">
        <v>129.99</v>
      </c>
      <c r="F304" s="2" t="s">
        <v>223</v>
      </c>
      <c r="G304" s="2" t="s">
        <v>75</v>
      </c>
      <c r="H304">
        <v>31.197600000000001</v>
      </c>
      <c r="I304">
        <v>20</v>
      </c>
      <c r="J304">
        <v>10</v>
      </c>
      <c r="K304">
        <v>2</v>
      </c>
      <c r="L304">
        <f t="shared" si="8"/>
        <v>2.6390573296152584</v>
      </c>
      <c r="M304">
        <f t="shared" si="9"/>
        <v>4.8674575244199279</v>
      </c>
    </row>
    <row r="305" spans="1:13" x14ac:dyDescent="0.2">
      <c r="A305" t="s">
        <v>222</v>
      </c>
      <c r="B305" t="s">
        <v>74</v>
      </c>
      <c r="C305" s="1" t="d">
        <v>2017-05-01</v>
      </c>
      <c r="D305">
        <v>18</v>
      </c>
      <c r="E305">
        <v>129.99</v>
      </c>
      <c r="F305">
        <v>2339.8200000000002</v>
      </c>
      <c r="G305" s="2" t="s">
        <v>75</v>
      </c>
      <c r="H305">
        <v>31.197600000000001</v>
      </c>
      <c r="I305">
        <v>23</v>
      </c>
      <c r="J305">
        <v>8</v>
      </c>
      <c r="K305">
        <v>1</v>
      </c>
      <c r="L305">
        <f t="shared" si="8"/>
        <v>2.8903717578961645</v>
      </c>
      <c r="M305">
        <f t="shared" si="9"/>
        <v>4.8674575244199279</v>
      </c>
    </row>
    <row r="306" spans="1:13" x14ac:dyDescent="0.2">
      <c r="A306" t="s">
        <v>222</v>
      </c>
      <c r="B306" t="s">
        <v>74</v>
      </c>
      <c r="C306" s="1" t="d">
        <v>2017-06-01</v>
      </c>
      <c r="D306">
        <v>17</v>
      </c>
      <c r="E306">
        <v>129.99</v>
      </c>
      <c r="F306">
        <v>2209.83</v>
      </c>
      <c r="G306" s="2" t="s">
        <v>75</v>
      </c>
      <c r="H306">
        <v>31.197600000000001</v>
      </c>
      <c r="I306">
        <v>22</v>
      </c>
      <c r="J306">
        <v>8</v>
      </c>
      <c r="K306">
        <v>1</v>
      </c>
      <c r="L306">
        <f t="shared" si="8"/>
        <v>2.8332133440562162</v>
      </c>
      <c r="M306">
        <f t="shared" si="9"/>
        <v>4.8674575244199279</v>
      </c>
    </row>
    <row r="307" spans="1:13" x14ac:dyDescent="0.2">
      <c r="A307" t="s">
        <v>222</v>
      </c>
      <c r="B307" t="s">
        <v>74</v>
      </c>
      <c r="C307" s="1" t="d">
        <v>2017-07-01</v>
      </c>
      <c r="D307">
        <v>16</v>
      </c>
      <c r="E307">
        <v>129.99</v>
      </c>
      <c r="F307">
        <v>2079.84</v>
      </c>
      <c r="G307" s="2" t="s">
        <v>75</v>
      </c>
      <c r="H307">
        <v>31.197600000000001</v>
      </c>
      <c r="I307">
        <v>21</v>
      </c>
      <c r="J307">
        <v>10</v>
      </c>
      <c r="K307">
        <v>1</v>
      </c>
      <c r="L307">
        <f t="shared" si="8"/>
        <v>2.7725887222397811</v>
      </c>
      <c r="M307">
        <f t="shared" si="9"/>
        <v>4.8674575244199279</v>
      </c>
    </row>
    <row r="308" spans="1:13" x14ac:dyDescent="0.2">
      <c r="A308" t="s">
        <v>222</v>
      </c>
      <c r="B308" t="s">
        <v>74</v>
      </c>
      <c r="C308" s="1" t="d">
        <v>2017-08-01</v>
      </c>
      <c r="D308">
        <v>16</v>
      </c>
      <c r="E308">
        <v>116.92749999999999</v>
      </c>
      <c r="F308">
        <v>1870.84</v>
      </c>
      <c r="G308" s="2" t="s">
        <v>75</v>
      </c>
      <c r="H308" s="2" t="s">
        <v>224</v>
      </c>
      <c r="I308">
        <v>23</v>
      </c>
      <c r="J308">
        <v>8</v>
      </c>
      <c r="K308">
        <v>1</v>
      </c>
      <c r="L308">
        <f t="shared" si="8"/>
        <v>2.7725887222397811</v>
      </c>
      <c r="M308">
        <f t="shared" si="9"/>
        <v>4.7615540846106574</v>
      </c>
    </row>
    <row r="309" spans="1:13" x14ac:dyDescent="0.2">
      <c r="A309" t="s">
        <v>222</v>
      </c>
      <c r="B309" t="s">
        <v>74</v>
      </c>
      <c r="C309" s="1" t="d">
        <v>2017-10-01</v>
      </c>
      <c r="D309">
        <v>10</v>
      </c>
      <c r="E309">
        <v>119.99</v>
      </c>
      <c r="F309" s="2" t="s">
        <v>225</v>
      </c>
      <c r="G309" s="2" t="s">
        <v>75</v>
      </c>
      <c r="H309" s="2" t="s">
        <v>226</v>
      </c>
      <c r="I309">
        <v>22</v>
      </c>
      <c r="J309">
        <v>9</v>
      </c>
      <c r="K309">
        <v>2</v>
      </c>
      <c r="L309">
        <f t="shared" si="8"/>
        <v>2.3025850929940459</v>
      </c>
      <c r="M309">
        <f t="shared" si="9"/>
        <v>4.7874084059762971</v>
      </c>
    </row>
    <row r="310" spans="1:13" x14ac:dyDescent="0.2">
      <c r="A310" t="s">
        <v>222</v>
      </c>
      <c r="B310" t="s">
        <v>74</v>
      </c>
      <c r="C310" s="1" t="d">
        <v>2017-11-01</v>
      </c>
      <c r="D310">
        <v>9</v>
      </c>
      <c r="E310">
        <v>129.99</v>
      </c>
      <c r="F310">
        <v>1169.9100000000001</v>
      </c>
      <c r="G310" s="2" t="s">
        <v>75</v>
      </c>
      <c r="H310">
        <v>31.197600000000001</v>
      </c>
      <c r="I310">
        <v>22</v>
      </c>
      <c r="J310">
        <v>8</v>
      </c>
      <c r="K310">
        <v>4</v>
      </c>
      <c r="L310">
        <f t="shared" si="8"/>
        <v>2.1972245773362196</v>
      </c>
      <c r="M310">
        <f t="shared" si="9"/>
        <v>4.8674575244199279</v>
      </c>
    </row>
    <row r="311" spans="1:13" x14ac:dyDescent="0.2">
      <c r="A311" t="s">
        <v>222</v>
      </c>
      <c r="B311" t="s">
        <v>74</v>
      </c>
      <c r="C311" s="1" t="d">
        <v>2017-12-01</v>
      </c>
      <c r="D311">
        <v>3</v>
      </c>
      <c r="E311">
        <v>129.99</v>
      </c>
      <c r="F311">
        <v>389.97</v>
      </c>
      <c r="G311" s="2" t="s">
        <v>75</v>
      </c>
      <c r="H311">
        <v>31.197600000000001</v>
      </c>
      <c r="I311">
        <v>21</v>
      </c>
      <c r="J311">
        <v>10</v>
      </c>
      <c r="K311">
        <v>1</v>
      </c>
      <c r="L311">
        <f t="shared" si="8"/>
        <v>1.0986122886681098</v>
      </c>
      <c r="M311">
        <f t="shared" si="9"/>
        <v>4.8674575244199279</v>
      </c>
    </row>
    <row r="312" spans="1:13" x14ac:dyDescent="0.2">
      <c r="A312" t="s">
        <v>222</v>
      </c>
      <c r="B312" t="s">
        <v>74</v>
      </c>
      <c r="C312" s="1" t="d">
        <v>2018-01-01</v>
      </c>
      <c r="D312">
        <v>4</v>
      </c>
      <c r="E312">
        <v>129.99</v>
      </c>
      <c r="F312">
        <v>519.96</v>
      </c>
      <c r="G312" s="2" t="s">
        <v>75</v>
      </c>
      <c r="H312">
        <v>31.197600000000001</v>
      </c>
      <c r="I312">
        <v>23</v>
      </c>
      <c r="J312">
        <v>8</v>
      </c>
      <c r="K312">
        <v>2</v>
      </c>
      <c r="L312">
        <f t="shared" si="8"/>
        <v>1.3862943611198906</v>
      </c>
      <c r="M312">
        <f t="shared" si="9"/>
        <v>4.8674575244199279</v>
      </c>
    </row>
    <row r="313" spans="1:13" x14ac:dyDescent="0.2">
      <c r="A313" t="s">
        <v>222</v>
      </c>
      <c r="B313" t="s">
        <v>74</v>
      </c>
      <c r="C313" s="1" t="d">
        <v>2018-02-01</v>
      </c>
      <c r="D313">
        <v>2</v>
      </c>
      <c r="E313">
        <v>129.99</v>
      </c>
      <c r="F313">
        <v>259.98</v>
      </c>
      <c r="G313" s="2" t="s">
        <v>75</v>
      </c>
      <c r="H313">
        <v>31.197600000000001</v>
      </c>
      <c r="I313">
        <v>20</v>
      </c>
      <c r="J313">
        <v>8</v>
      </c>
      <c r="K313">
        <v>2</v>
      </c>
      <c r="L313">
        <f t="shared" si="8"/>
        <v>0.69314718055994529</v>
      </c>
      <c r="M313">
        <f t="shared" si="9"/>
        <v>4.8674575244199279</v>
      </c>
    </row>
    <row r="314" spans="1:13" x14ac:dyDescent="0.2">
      <c r="A314" t="s">
        <v>222</v>
      </c>
      <c r="B314" t="s">
        <v>74</v>
      </c>
      <c r="C314" s="1" t="d">
        <v>2018-03-01</v>
      </c>
      <c r="D314">
        <v>1</v>
      </c>
      <c r="E314">
        <v>129.99</v>
      </c>
      <c r="F314">
        <v>129.99</v>
      </c>
      <c r="G314" s="2" t="s">
        <v>75</v>
      </c>
      <c r="H314">
        <v>31.197600000000001</v>
      </c>
      <c r="I314">
        <v>22</v>
      </c>
      <c r="J314">
        <v>9</v>
      </c>
      <c r="K314">
        <v>1</v>
      </c>
      <c r="L314">
        <f t="shared" si="8"/>
        <v>0</v>
      </c>
      <c r="M314">
        <f t="shared" si="9"/>
        <v>4.8674575244199279</v>
      </c>
    </row>
    <row r="315" spans="1:13" x14ac:dyDescent="0.2">
      <c r="A315" t="s">
        <v>222</v>
      </c>
      <c r="B315" t="s">
        <v>74</v>
      </c>
      <c r="C315" s="1" t="d">
        <v>2018-04-01</v>
      </c>
      <c r="D315">
        <v>1</v>
      </c>
      <c r="E315">
        <v>129.99</v>
      </c>
      <c r="F315">
        <v>129.99</v>
      </c>
      <c r="G315" s="2" t="s">
        <v>75</v>
      </c>
      <c r="H315">
        <v>31.197600000000001</v>
      </c>
      <c r="I315">
        <v>21</v>
      </c>
      <c r="J315">
        <v>9</v>
      </c>
      <c r="K315">
        <v>1</v>
      </c>
      <c r="L315">
        <f t="shared" si="8"/>
        <v>0</v>
      </c>
      <c r="M315">
        <f t="shared" si="9"/>
        <v>4.8674575244199279</v>
      </c>
    </row>
    <row r="316" spans="1:13" x14ac:dyDescent="0.2">
      <c r="A316" t="s">
        <v>227</v>
      </c>
      <c r="B316" t="s">
        <v>113</v>
      </c>
      <c r="C316" s="1" t="d">
        <v>2017-05-01</v>
      </c>
      <c r="D316">
        <v>4</v>
      </c>
      <c r="E316">
        <v>94.9</v>
      </c>
      <c r="F316">
        <v>379.6</v>
      </c>
      <c r="G316">
        <v>4</v>
      </c>
      <c r="H316">
        <v>23.725000000000001</v>
      </c>
      <c r="I316">
        <v>23</v>
      </c>
      <c r="J316">
        <v>8</v>
      </c>
      <c r="K316">
        <v>1</v>
      </c>
      <c r="L316">
        <f t="shared" si="8"/>
        <v>1.3862943611198906</v>
      </c>
      <c r="M316">
        <f t="shared" si="9"/>
        <v>4.5528237056158822</v>
      </c>
    </row>
    <row r="317" spans="1:13" x14ac:dyDescent="0.2">
      <c r="A317" t="s">
        <v>227</v>
      </c>
      <c r="B317" t="s">
        <v>113</v>
      </c>
      <c r="C317" s="1" t="d">
        <v>2017-06-01</v>
      </c>
      <c r="D317">
        <v>6</v>
      </c>
      <c r="E317">
        <v>100.9</v>
      </c>
      <c r="F317" s="2" t="s">
        <v>228</v>
      </c>
      <c r="G317" s="2" t="s">
        <v>27</v>
      </c>
      <c r="H317" s="2" t="s">
        <v>229</v>
      </c>
      <c r="I317">
        <v>22</v>
      </c>
      <c r="J317">
        <v>8</v>
      </c>
      <c r="K317">
        <v>1</v>
      </c>
      <c r="L317">
        <f t="shared" si="8"/>
        <v>1.791759469228055</v>
      </c>
      <c r="M317">
        <f t="shared" si="9"/>
        <v>4.6141299273595635</v>
      </c>
    </row>
    <row r="318" spans="1:13" x14ac:dyDescent="0.2">
      <c r="A318" t="s">
        <v>227</v>
      </c>
      <c r="B318" t="s">
        <v>113</v>
      </c>
      <c r="C318" s="1" t="d">
        <v>2017-07-01</v>
      </c>
      <c r="D318">
        <v>10</v>
      </c>
      <c r="E318">
        <v>109.9</v>
      </c>
      <c r="F318">
        <v>1099</v>
      </c>
      <c r="G318" s="2" t="s">
        <v>27</v>
      </c>
      <c r="H318" s="2" t="s">
        <v>230</v>
      </c>
      <c r="I318">
        <v>21</v>
      </c>
      <c r="J318">
        <v>10</v>
      </c>
      <c r="K318">
        <v>1</v>
      </c>
      <c r="L318">
        <f t="shared" si="8"/>
        <v>2.3025850929940459</v>
      </c>
      <c r="M318">
        <f t="shared" si="9"/>
        <v>4.6995708614095761</v>
      </c>
    </row>
    <row r="319" spans="1:13" x14ac:dyDescent="0.2">
      <c r="A319" t="s">
        <v>227</v>
      </c>
      <c r="B319" t="s">
        <v>113</v>
      </c>
      <c r="C319" s="1" t="d">
        <v>2017-08-01</v>
      </c>
      <c r="D319">
        <v>2</v>
      </c>
      <c r="E319">
        <v>109.9</v>
      </c>
      <c r="F319">
        <v>219.8</v>
      </c>
      <c r="G319" s="2" t="s">
        <v>27</v>
      </c>
      <c r="H319" s="2" t="s">
        <v>230</v>
      </c>
      <c r="I319">
        <v>23</v>
      </c>
      <c r="J319">
        <v>8</v>
      </c>
      <c r="K319">
        <v>1</v>
      </c>
      <c r="L319">
        <f t="shared" si="8"/>
        <v>0.69314718055994529</v>
      </c>
      <c r="M319">
        <f t="shared" si="9"/>
        <v>4.6995708614095761</v>
      </c>
    </row>
    <row r="320" spans="1:13" x14ac:dyDescent="0.2">
      <c r="A320" t="s">
        <v>227</v>
      </c>
      <c r="B320" t="s">
        <v>113</v>
      </c>
      <c r="C320" s="1" t="d">
        <v>2017-09-01</v>
      </c>
      <c r="D320">
        <v>4</v>
      </c>
      <c r="E320">
        <v>98.9</v>
      </c>
      <c r="F320">
        <v>395.6</v>
      </c>
      <c r="G320" s="2" t="s">
        <v>27</v>
      </c>
      <c r="H320" s="2" t="s">
        <v>231</v>
      </c>
      <c r="I320">
        <v>21</v>
      </c>
      <c r="J320">
        <v>9</v>
      </c>
      <c r="K320">
        <v>1</v>
      </c>
      <c r="L320">
        <f t="shared" si="8"/>
        <v>1.3862943611198906</v>
      </c>
      <c r="M320">
        <f t="shared" si="9"/>
        <v>4.5941092386286666</v>
      </c>
    </row>
    <row r="321" spans="1:13" x14ac:dyDescent="0.2">
      <c r="A321" t="s">
        <v>227</v>
      </c>
      <c r="B321" t="s">
        <v>113</v>
      </c>
      <c r="C321" s="1" t="d">
        <v>2017-10-01</v>
      </c>
      <c r="D321">
        <v>4</v>
      </c>
      <c r="E321">
        <v>98.9</v>
      </c>
      <c r="F321">
        <v>395.6</v>
      </c>
      <c r="G321" s="2" t="s">
        <v>27</v>
      </c>
      <c r="H321" s="2" t="s">
        <v>231</v>
      </c>
      <c r="I321">
        <v>22</v>
      </c>
      <c r="J321">
        <v>9</v>
      </c>
      <c r="K321">
        <v>2</v>
      </c>
      <c r="L321">
        <f t="shared" si="8"/>
        <v>1.3862943611198906</v>
      </c>
      <c r="M321">
        <f t="shared" si="9"/>
        <v>4.5941092386286666</v>
      </c>
    </row>
    <row r="322" spans="1:13" x14ac:dyDescent="0.2">
      <c r="A322" t="s">
        <v>227</v>
      </c>
      <c r="B322" t="s">
        <v>113</v>
      </c>
      <c r="C322" s="1" t="d">
        <v>2017-11-01</v>
      </c>
      <c r="D322">
        <v>6</v>
      </c>
      <c r="E322">
        <v>98.9</v>
      </c>
      <c r="F322" s="2" t="s">
        <v>232</v>
      </c>
      <c r="G322" s="2" t="s">
        <v>27</v>
      </c>
      <c r="H322" s="2" t="s">
        <v>231</v>
      </c>
      <c r="I322">
        <v>22</v>
      </c>
      <c r="J322">
        <v>8</v>
      </c>
      <c r="K322">
        <v>4</v>
      </c>
      <c r="L322">
        <f t="shared" si="8"/>
        <v>1.791759469228055</v>
      </c>
      <c r="M322">
        <f t="shared" si="9"/>
        <v>4.5941092386286666</v>
      </c>
    </row>
    <row r="323" spans="1:13" x14ac:dyDescent="0.2">
      <c r="A323" t="s">
        <v>227</v>
      </c>
      <c r="B323" t="s">
        <v>113</v>
      </c>
      <c r="C323" s="1" t="d">
        <v>2017-12-01</v>
      </c>
      <c r="D323">
        <v>1</v>
      </c>
      <c r="E323">
        <v>98.9</v>
      </c>
      <c r="F323">
        <v>98.9</v>
      </c>
      <c r="G323" s="2" t="s">
        <v>27</v>
      </c>
      <c r="H323" s="2" t="s">
        <v>231</v>
      </c>
      <c r="I323">
        <v>21</v>
      </c>
      <c r="J323">
        <v>10</v>
      </c>
      <c r="K323">
        <v>1</v>
      </c>
      <c r="L323">
        <f t="shared" ref="L323:L386" si="10">IF(D323&gt;0, LN(D323), "")</f>
        <v>0</v>
      </c>
      <c r="M323">
        <f t="shared" ref="M323:M386" si="11">LN(E323)</f>
        <v>4.5941092386286666</v>
      </c>
    </row>
    <row r="324" spans="1:13" x14ac:dyDescent="0.2">
      <c r="A324" t="s">
        <v>227</v>
      </c>
      <c r="B324" t="s">
        <v>113</v>
      </c>
      <c r="C324" s="1" t="d">
        <v>2018-01-01</v>
      </c>
      <c r="D324">
        <v>31</v>
      </c>
      <c r="E324">
        <v>90.534000000000006</v>
      </c>
      <c r="F324">
        <v>2806.5540000000001</v>
      </c>
      <c r="G324" s="2" t="s">
        <v>75</v>
      </c>
      <c r="H324">
        <v>21.728159999999999</v>
      </c>
      <c r="I324">
        <v>23</v>
      </c>
      <c r="J324">
        <v>8</v>
      </c>
      <c r="K324">
        <v>2</v>
      </c>
      <c r="L324">
        <f t="shared" si="10"/>
        <v>3.4339872044851463</v>
      </c>
      <c r="M324">
        <f t="shared" si="11"/>
        <v>4.5057254707595691</v>
      </c>
    </row>
    <row r="325" spans="1:13" x14ac:dyDescent="0.2">
      <c r="A325" t="s">
        <v>227</v>
      </c>
      <c r="B325" t="s">
        <v>113</v>
      </c>
      <c r="C325" s="1" t="d">
        <v>2018-02-01</v>
      </c>
      <c r="D325">
        <v>30</v>
      </c>
      <c r="E325">
        <v>84.756086960000005</v>
      </c>
      <c r="F325" s="2" t="s">
        <v>233</v>
      </c>
      <c r="G325" s="2" t="s">
        <v>75</v>
      </c>
      <c r="H325">
        <v>20.341460870399999</v>
      </c>
      <c r="I325">
        <v>20</v>
      </c>
      <c r="J325">
        <v>8</v>
      </c>
      <c r="K325">
        <v>2</v>
      </c>
      <c r="L325">
        <f t="shared" si="10"/>
        <v>3.4011973816621555</v>
      </c>
      <c r="M325">
        <f t="shared" si="11"/>
        <v>4.4397775662183179</v>
      </c>
    </row>
    <row r="326" spans="1:13" x14ac:dyDescent="0.2">
      <c r="A326" t="s">
        <v>227</v>
      </c>
      <c r="B326" t="s">
        <v>113</v>
      </c>
      <c r="C326" s="1" t="d">
        <v>2018-03-01</v>
      </c>
      <c r="D326">
        <v>13</v>
      </c>
      <c r="E326">
        <v>87.5</v>
      </c>
      <c r="F326">
        <v>1137.5</v>
      </c>
      <c r="G326" s="2" t="s">
        <v>75</v>
      </c>
      <c r="H326">
        <v>21</v>
      </c>
      <c r="I326">
        <v>22</v>
      </c>
      <c r="J326">
        <v>9</v>
      </c>
      <c r="K326">
        <v>1</v>
      </c>
      <c r="L326">
        <f t="shared" si="10"/>
        <v>2.5649493574615367</v>
      </c>
      <c r="M326">
        <f t="shared" si="11"/>
        <v>4.4716387933635691</v>
      </c>
    </row>
    <row r="327" spans="1:13" x14ac:dyDescent="0.2">
      <c r="A327" t="s">
        <v>227</v>
      </c>
      <c r="B327" t="s">
        <v>113</v>
      </c>
      <c r="C327" s="1" t="d">
        <v>2018-04-01</v>
      </c>
      <c r="D327">
        <v>5</v>
      </c>
      <c r="E327">
        <v>94</v>
      </c>
      <c r="F327">
        <v>470</v>
      </c>
      <c r="G327" s="2" t="s">
        <v>75</v>
      </c>
      <c r="H327">
        <v>22.56</v>
      </c>
      <c r="I327">
        <v>21</v>
      </c>
      <c r="J327">
        <v>9</v>
      </c>
      <c r="K327">
        <v>1</v>
      </c>
      <c r="L327">
        <f t="shared" si="10"/>
        <v>1.6094379124341003</v>
      </c>
      <c r="M327">
        <f t="shared" si="11"/>
        <v>4.5432947822700038</v>
      </c>
    </row>
    <row r="328" spans="1:13" x14ac:dyDescent="0.2">
      <c r="A328" t="s">
        <v>227</v>
      </c>
      <c r="B328" t="s">
        <v>113</v>
      </c>
      <c r="C328" s="1" t="d">
        <v>2018-06-01</v>
      </c>
      <c r="D328">
        <v>4</v>
      </c>
      <c r="E328">
        <v>73</v>
      </c>
      <c r="F328">
        <v>292</v>
      </c>
      <c r="G328" s="2" t="s">
        <v>75</v>
      </c>
      <c r="H328">
        <v>17.52</v>
      </c>
      <c r="I328">
        <v>21</v>
      </c>
      <c r="J328">
        <v>9</v>
      </c>
      <c r="K328">
        <v>0</v>
      </c>
      <c r="L328">
        <f t="shared" si="10"/>
        <v>1.3862943611198906</v>
      </c>
      <c r="M328">
        <f t="shared" si="11"/>
        <v>4.290459441148391</v>
      </c>
    </row>
    <row r="329" spans="1:13" x14ac:dyDescent="0.2">
      <c r="A329" t="s">
        <v>227</v>
      </c>
      <c r="B329" t="s">
        <v>113</v>
      </c>
      <c r="C329" s="1" t="d">
        <v>2018-07-01</v>
      </c>
      <c r="D329">
        <v>18</v>
      </c>
      <c r="E329">
        <v>66.342142859999996</v>
      </c>
      <c r="F329" s="2" t="s">
        <v>234</v>
      </c>
      <c r="G329" s="2" t="s">
        <v>75</v>
      </c>
      <c r="H329" s="2" t="s">
        <v>235</v>
      </c>
      <c r="I329">
        <v>22</v>
      </c>
      <c r="J329">
        <v>9</v>
      </c>
      <c r="K329">
        <v>1</v>
      </c>
      <c r="L329">
        <f t="shared" si="10"/>
        <v>2.8903717578961645</v>
      </c>
      <c r="M329">
        <f t="shared" si="11"/>
        <v>4.1948253341729957</v>
      </c>
    </row>
    <row r="330" spans="1:13" x14ac:dyDescent="0.2">
      <c r="A330" t="s">
        <v>227</v>
      </c>
      <c r="B330" t="s">
        <v>113</v>
      </c>
      <c r="C330" s="1" t="d">
        <v>2018-08-01</v>
      </c>
      <c r="D330">
        <v>1</v>
      </c>
      <c r="E330">
        <v>79.900000000000006</v>
      </c>
      <c r="F330">
        <v>79.900000000000006</v>
      </c>
      <c r="G330" s="2" t="s">
        <v>75</v>
      </c>
      <c r="H330">
        <v>19.175999999999998</v>
      </c>
      <c r="I330">
        <v>23</v>
      </c>
      <c r="J330">
        <v>8</v>
      </c>
      <c r="K330">
        <v>1</v>
      </c>
      <c r="L330">
        <f t="shared" si="10"/>
        <v>0</v>
      </c>
      <c r="M330">
        <f t="shared" si="11"/>
        <v>4.3807758527722287</v>
      </c>
    </row>
    <row r="331" spans="1:13" x14ac:dyDescent="0.2">
      <c r="A331" t="s">
        <v>236</v>
      </c>
      <c r="B331" t="s">
        <v>38</v>
      </c>
      <c r="C331" s="1" t="d">
        <v>2017-07-01</v>
      </c>
      <c r="D331">
        <v>1</v>
      </c>
      <c r="E331">
        <v>19.899999999999999</v>
      </c>
      <c r="F331">
        <v>19.899999999999999</v>
      </c>
      <c r="G331" s="2" t="s">
        <v>39</v>
      </c>
      <c r="H331" s="2" t="s">
        <v>40</v>
      </c>
      <c r="I331">
        <v>21</v>
      </c>
      <c r="J331">
        <v>10</v>
      </c>
      <c r="K331">
        <v>1</v>
      </c>
      <c r="L331">
        <f t="shared" si="10"/>
        <v>0</v>
      </c>
      <c r="M331">
        <f t="shared" si="11"/>
        <v>2.9907197317304468</v>
      </c>
    </row>
    <row r="332" spans="1:13" x14ac:dyDescent="0.2">
      <c r="A332" t="s">
        <v>236</v>
      </c>
      <c r="B332" t="s">
        <v>38</v>
      </c>
      <c r="C332" s="1" t="d">
        <v>2017-08-01</v>
      </c>
      <c r="D332">
        <v>11</v>
      </c>
      <c r="E332">
        <v>19.899999999999999</v>
      </c>
      <c r="F332" s="2" t="s">
        <v>237</v>
      </c>
      <c r="G332" s="2" t="s">
        <v>39</v>
      </c>
      <c r="H332" s="2" t="s">
        <v>40</v>
      </c>
      <c r="I332">
        <v>23</v>
      </c>
      <c r="J332">
        <v>8</v>
      </c>
      <c r="K332">
        <v>1</v>
      </c>
      <c r="L332">
        <f t="shared" si="10"/>
        <v>2.3978952727983707</v>
      </c>
      <c r="M332">
        <f t="shared" si="11"/>
        <v>2.9907197317304468</v>
      </c>
    </row>
    <row r="333" spans="1:13" x14ac:dyDescent="0.2">
      <c r="A333" t="s">
        <v>236</v>
      </c>
      <c r="B333" t="s">
        <v>38</v>
      </c>
      <c r="C333" s="1" t="d">
        <v>2017-09-01</v>
      </c>
      <c r="D333">
        <v>9</v>
      </c>
      <c r="E333">
        <v>19.899999999999999</v>
      </c>
      <c r="F333">
        <v>179.1</v>
      </c>
      <c r="G333" s="2" t="s">
        <v>39</v>
      </c>
      <c r="H333" s="2" t="s">
        <v>40</v>
      </c>
      <c r="I333">
        <v>21</v>
      </c>
      <c r="J333">
        <v>9</v>
      </c>
      <c r="K333">
        <v>1</v>
      </c>
      <c r="L333">
        <f t="shared" si="10"/>
        <v>2.1972245773362196</v>
      </c>
      <c r="M333">
        <f t="shared" si="11"/>
        <v>2.9907197317304468</v>
      </c>
    </row>
    <row r="334" spans="1:13" x14ac:dyDescent="0.2">
      <c r="A334" t="s">
        <v>236</v>
      </c>
      <c r="B334" t="s">
        <v>38</v>
      </c>
      <c r="C334" s="1" t="d">
        <v>2017-10-01</v>
      </c>
      <c r="D334">
        <v>12</v>
      </c>
      <c r="E334">
        <v>20.666666670000001</v>
      </c>
      <c r="F334" s="2" t="s">
        <v>238</v>
      </c>
      <c r="G334" s="2" t="s">
        <v>39</v>
      </c>
      <c r="H334" s="2" t="s">
        <v>239</v>
      </c>
      <c r="I334">
        <v>22</v>
      </c>
      <c r="J334">
        <v>9</v>
      </c>
      <c r="K334">
        <v>2</v>
      </c>
      <c r="L334">
        <f t="shared" si="10"/>
        <v>2.4849066497880004</v>
      </c>
      <c r="M334">
        <f t="shared" si="11"/>
        <v>3.0285220965382722</v>
      </c>
    </row>
    <row r="335" spans="1:13" x14ac:dyDescent="0.2">
      <c r="A335" t="s">
        <v>236</v>
      </c>
      <c r="B335" t="s">
        <v>38</v>
      </c>
      <c r="C335" s="1" t="d">
        <v>2017-11-01</v>
      </c>
      <c r="D335">
        <v>23</v>
      </c>
      <c r="E335">
        <v>24.5</v>
      </c>
      <c r="F335">
        <v>563.5</v>
      </c>
      <c r="G335" s="2" t="s">
        <v>39</v>
      </c>
      <c r="H335" s="2" t="s">
        <v>43</v>
      </c>
      <c r="I335">
        <v>22</v>
      </c>
      <c r="J335">
        <v>8</v>
      </c>
      <c r="K335">
        <v>4</v>
      </c>
      <c r="L335">
        <f t="shared" si="10"/>
        <v>3.1354942159291497</v>
      </c>
      <c r="M335">
        <f t="shared" si="11"/>
        <v>3.1986731175506815</v>
      </c>
    </row>
    <row r="336" spans="1:13" x14ac:dyDescent="0.2">
      <c r="A336" t="s">
        <v>236</v>
      </c>
      <c r="B336" t="s">
        <v>38</v>
      </c>
      <c r="C336" s="1" t="d">
        <v>2017-12-01</v>
      </c>
      <c r="D336">
        <v>17</v>
      </c>
      <c r="E336">
        <v>24.5</v>
      </c>
      <c r="F336">
        <v>416.5</v>
      </c>
      <c r="G336" s="2" t="s">
        <v>39</v>
      </c>
      <c r="H336" s="2" t="s">
        <v>43</v>
      </c>
      <c r="I336">
        <v>21</v>
      </c>
      <c r="J336">
        <v>10</v>
      </c>
      <c r="K336">
        <v>1</v>
      </c>
      <c r="L336">
        <f t="shared" si="10"/>
        <v>2.8332133440562162</v>
      </c>
      <c r="M336">
        <f t="shared" si="11"/>
        <v>3.1986731175506815</v>
      </c>
    </row>
    <row r="337" spans="1:13" x14ac:dyDescent="0.2">
      <c r="A337" t="s">
        <v>236</v>
      </c>
      <c r="B337" t="s">
        <v>38</v>
      </c>
      <c r="C337" s="1" t="d">
        <v>2018-01-01</v>
      </c>
      <c r="D337">
        <v>10</v>
      </c>
      <c r="E337">
        <v>27.033333330000001</v>
      </c>
      <c r="F337">
        <v>270.33333329999999</v>
      </c>
      <c r="G337" s="2" t="s">
        <v>240</v>
      </c>
      <c r="H337" s="2" t="s">
        <v>241</v>
      </c>
      <c r="I337">
        <v>23</v>
      </c>
      <c r="J337">
        <v>8</v>
      </c>
      <c r="K337">
        <v>2</v>
      </c>
      <c r="L337">
        <f t="shared" si="10"/>
        <v>2.3025850929940459</v>
      </c>
      <c r="M337">
        <f t="shared" si="11"/>
        <v>3.2970706723299532</v>
      </c>
    </row>
    <row r="338" spans="1:13" x14ac:dyDescent="0.2">
      <c r="A338" t="s">
        <v>236</v>
      </c>
      <c r="B338" t="s">
        <v>38</v>
      </c>
      <c r="C338" s="1" t="d">
        <v>2018-02-01</v>
      </c>
      <c r="D338">
        <v>1</v>
      </c>
      <c r="E338">
        <v>32.5</v>
      </c>
      <c r="F338">
        <v>32.5</v>
      </c>
      <c r="G338" s="2" t="s">
        <v>39</v>
      </c>
      <c r="H338" s="2" t="s">
        <v>44</v>
      </c>
      <c r="I338">
        <v>20</v>
      </c>
      <c r="J338">
        <v>8</v>
      </c>
      <c r="K338">
        <v>2</v>
      </c>
      <c r="L338">
        <f t="shared" si="10"/>
        <v>0</v>
      </c>
      <c r="M338">
        <f t="shared" si="11"/>
        <v>3.4812400893356918</v>
      </c>
    </row>
    <row r="339" spans="1:13" x14ac:dyDescent="0.2">
      <c r="A339" t="s">
        <v>236</v>
      </c>
      <c r="B339" t="s">
        <v>38</v>
      </c>
      <c r="C339" s="1" t="d">
        <v>2018-03-01</v>
      </c>
      <c r="D339">
        <v>7</v>
      </c>
      <c r="E339">
        <v>32.742857139999998</v>
      </c>
      <c r="F339" s="2" t="s">
        <v>242</v>
      </c>
      <c r="G339" s="2" t="s">
        <v>39</v>
      </c>
      <c r="H339" s="2" t="s">
        <v>243</v>
      </c>
      <c r="I339">
        <v>22</v>
      </c>
      <c r="J339">
        <v>9</v>
      </c>
      <c r="K339">
        <v>1</v>
      </c>
      <c r="L339">
        <f t="shared" si="10"/>
        <v>1.9459101490553132</v>
      </c>
      <c r="M339">
        <f t="shared" si="11"/>
        <v>3.4886848356980109</v>
      </c>
    </row>
    <row r="340" spans="1:13" x14ac:dyDescent="0.2">
      <c r="A340" t="s">
        <v>236</v>
      </c>
      <c r="B340" t="s">
        <v>38</v>
      </c>
      <c r="C340" s="1" t="d">
        <v>2018-04-01</v>
      </c>
      <c r="D340">
        <v>6</v>
      </c>
      <c r="E340">
        <v>34.200000000000003</v>
      </c>
      <c r="F340" s="2" t="s">
        <v>244</v>
      </c>
      <c r="G340" s="2" t="s">
        <v>39</v>
      </c>
      <c r="H340" s="2" t="s">
        <v>245</v>
      </c>
      <c r="I340">
        <v>21</v>
      </c>
      <c r="J340">
        <v>9</v>
      </c>
      <c r="K340">
        <v>1</v>
      </c>
      <c r="L340">
        <f t="shared" si="10"/>
        <v>1.791759469228055</v>
      </c>
      <c r="M340">
        <f t="shared" si="11"/>
        <v>3.5322256440685598</v>
      </c>
    </row>
    <row r="341" spans="1:13" x14ac:dyDescent="0.2">
      <c r="A341" t="s">
        <v>246</v>
      </c>
      <c r="B341" t="s">
        <v>60</v>
      </c>
      <c r="C341" s="1" t="d">
        <v>2017-01-01</v>
      </c>
      <c r="D341">
        <v>8</v>
      </c>
      <c r="E341">
        <v>349.9</v>
      </c>
      <c r="F341">
        <v>2799.2</v>
      </c>
      <c r="G341">
        <v>4.2</v>
      </c>
      <c r="H341">
        <v>83.309523809523796</v>
      </c>
      <c r="I341">
        <v>22</v>
      </c>
      <c r="J341">
        <v>9</v>
      </c>
      <c r="K341">
        <v>1</v>
      </c>
      <c r="L341">
        <f t="shared" si="10"/>
        <v>2.0794415416798357</v>
      </c>
      <c r="M341">
        <f t="shared" si="11"/>
        <v>5.8576473993736426</v>
      </c>
    </row>
    <row r="342" spans="1:13" x14ac:dyDescent="0.2">
      <c r="A342" t="s">
        <v>246</v>
      </c>
      <c r="B342" t="s">
        <v>60</v>
      </c>
      <c r="C342" s="1" t="d">
        <v>2017-02-01</v>
      </c>
      <c r="D342">
        <v>4</v>
      </c>
      <c r="E342">
        <v>349.9</v>
      </c>
      <c r="F342">
        <v>1399.6</v>
      </c>
      <c r="G342">
        <v>4.2</v>
      </c>
      <c r="H342">
        <v>83.309523809523796</v>
      </c>
      <c r="I342">
        <v>20</v>
      </c>
      <c r="J342">
        <v>8</v>
      </c>
      <c r="K342">
        <v>2</v>
      </c>
      <c r="L342">
        <f t="shared" si="10"/>
        <v>1.3862943611198906</v>
      </c>
      <c r="M342">
        <f t="shared" si="11"/>
        <v>5.8576473993736426</v>
      </c>
    </row>
    <row r="343" spans="1:13" x14ac:dyDescent="0.2">
      <c r="A343" t="s">
        <v>246</v>
      </c>
      <c r="B343" t="s">
        <v>60</v>
      </c>
      <c r="C343" s="1" t="d">
        <v>2017-03-01</v>
      </c>
      <c r="D343">
        <v>2</v>
      </c>
      <c r="E343">
        <v>349.9</v>
      </c>
      <c r="F343">
        <v>699.8</v>
      </c>
      <c r="G343" s="2" t="s">
        <v>62</v>
      </c>
      <c r="H343" s="2" t="s">
        <v>247</v>
      </c>
      <c r="I343">
        <v>23</v>
      </c>
      <c r="J343">
        <v>8</v>
      </c>
      <c r="K343">
        <v>1</v>
      </c>
      <c r="L343">
        <f t="shared" si="10"/>
        <v>0.69314718055994529</v>
      </c>
      <c r="M343">
        <f t="shared" si="11"/>
        <v>5.8576473993736426</v>
      </c>
    </row>
    <row r="344" spans="1:13" x14ac:dyDescent="0.2">
      <c r="A344" t="s">
        <v>246</v>
      </c>
      <c r="B344" t="s">
        <v>60</v>
      </c>
      <c r="C344" s="1" t="d">
        <v>2017-04-01</v>
      </c>
      <c r="D344">
        <v>1</v>
      </c>
      <c r="E344">
        <v>349.9</v>
      </c>
      <c r="F344">
        <v>349.9</v>
      </c>
      <c r="G344">
        <v>4.2</v>
      </c>
      <c r="H344">
        <v>83.309523809523796</v>
      </c>
      <c r="I344">
        <v>20</v>
      </c>
      <c r="J344">
        <v>10</v>
      </c>
      <c r="K344">
        <v>2</v>
      </c>
      <c r="L344">
        <f t="shared" si="10"/>
        <v>0</v>
      </c>
      <c r="M344">
        <f t="shared" si="11"/>
        <v>5.8576473993736426</v>
      </c>
    </row>
    <row r="345" spans="1:13" x14ac:dyDescent="0.2">
      <c r="A345" t="s">
        <v>246</v>
      </c>
      <c r="B345" t="s">
        <v>60</v>
      </c>
      <c r="C345" s="1" t="d">
        <v>2017-05-01</v>
      </c>
      <c r="D345">
        <v>4</v>
      </c>
      <c r="E345">
        <v>349.9</v>
      </c>
      <c r="F345">
        <v>1399.6</v>
      </c>
      <c r="G345" s="2" t="s">
        <v>62</v>
      </c>
      <c r="H345" s="2" t="s">
        <v>247</v>
      </c>
      <c r="I345">
        <v>23</v>
      </c>
      <c r="J345">
        <v>8</v>
      </c>
      <c r="K345">
        <v>1</v>
      </c>
      <c r="L345">
        <f t="shared" si="10"/>
        <v>1.3862943611198906</v>
      </c>
      <c r="M345">
        <f t="shared" si="11"/>
        <v>5.8576473993736426</v>
      </c>
    </row>
    <row r="346" spans="1:13" x14ac:dyDescent="0.2">
      <c r="A346" t="s">
        <v>246</v>
      </c>
      <c r="B346" t="s">
        <v>60</v>
      </c>
      <c r="C346" s="1" t="d">
        <v>2017-06-01</v>
      </c>
      <c r="D346">
        <v>2</v>
      </c>
      <c r="E346">
        <v>349.9</v>
      </c>
      <c r="F346">
        <v>699.8</v>
      </c>
      <c r="G346" s="2" t="s">
        <v>62</v>
      </c>
      <c r="H346" s="2" t="s">
        <v>247</v>
      </c>
      <c r="I346">
        <v>22</v>
      </c>
      <c r="J346">
        <v>8</v>
      </c>
      <c r="K346">
        <v>1</v>
      </c>
      <c r="L346">
        <f t="shared" si="10"/>
        <v>0.69314718055994529</v>
      </c>
      <c r="M346">
        <f t="shared" si="11"/>
        <v>5.8576473993736426</v>
      </c>
    </row>
    <row r="347" spans="1:13" x14ac:dyDescent="0.2">
      <c r="A347" t="s">
        <v>246</v>
      </c>
      <c r="B347" t="s">
        <v>60</v>
      </c>
      <c r="C347" s="1" t="d">
        <v>2017-07-01</v>
      </c>
      <c r="D347">
        <v>1</v>
      </c>
      <c r="E347">
        <v>349.9</v>
      </c>
      <c r="F347">
        <v>349.9</v>
      </c>
      <c r="G347" s="2" t="s">
        <v>62</v>
      </c>
      <c r="H347" s="2" t="s">
        <v>247</v>
      </c>
      <c r="I347">
        <v>21</v>
      </c>
      <c r="J347">
        <v>10</v>
      </c>
      <c r="K347">
        <v>1</v>
      </c>
      <c r="L347">
        <f t="shared" si="10"/>
        <v>0</v>
      </c>
      <c r="M347">
        <f t="shared" si="11"/>
        <v>5.8576473993736426</v>
      </c>
    </row>
    <row r="348" spans="1:13" x14ac:dyDescent="0.2">
      <c r="A348" t="s">
        <v>246</v>
      </c>
      <c r="B348" t="s">
        <v>60</v>
      </c>
      <c r="C348" s="1" t="d">
        <v>2017-08-01</v>
      </c>
      <c r="D348">
        <v>7</v>
      </c>
      <c r="E348">
        <v>349.9</v>
      </c>
      <c r="F348" s="2" t="s">
        <v>248</v>
      </c>
      <c r="G348" s="2" t="s">
        <v>62</v>
      </c>
      <c r="H348" s="2" t="s">
        <v>247</v>
      </c>
      <c r="I348">
        <v>23</v>
      </c>
      <c r="J348">
        <v>8</v>
      </c>
      <c r="K348">
        <v>1</v>
      </c>
      <c r="L348">
        <f t="shared" si="10"/>
        <v>1.9459101490553132</v>
      </c>
      <c r="M348">
        <f t="shared" si="11"/>
        <v>5.8576473993736426</v>
      </c>
    </row>
    <row r="349" spans="1:13" x14ac:dyDescent="0.2">
      <c r="A349" t="s">
        <v>246</v>
      </c>
      <c r="B349" t="s">
        <v>60</v>
      </c>
      <c r="C349" s="1" t="d">
        <v>2017-09-01</v>
      </c>
      <c r="D349">
        <v>7</v>
      </c>
      <c r="E349">
        <v>349.9</v>
      </c>
      <c r="F349" s="2" t="s">
        <v>248</v>
      </c>
      <c r="G349" s="2" t="s">
        <v>62</v>
      </c>
      <c r="H349" s="2" t="s">
        <v>247</v>
      </c>
      <c r="I349">
        <v>21</v>
      </c>
      <c r="J349">
        <v>9</v>
      </c>
      <c r="K349">
        <v>1</v>
      </c>
      <c r="L349">
        <f t="shared" si="10"/>
        <v>1.9459101490553132</v>
      </c>
      <c r="M349">
        <f t="shared" si="11"/>
        <v>5.8576473993736426</v>
      </c>
    </row>
    <row r="350" spans="1:13" x14ac:dyDescent="0.2">
      <c r="A350" t="s">
        <v>246</v>
      </c>
      <c r="B350" t="s">
        <v>60</v>
      </c>
      <c r="C350" s="1" t="d">
        <v>2017-10-01</v>
      </c>
      <c r="D350">
        <v>10</v>
      </c>
      <c r="E350">
        <v>349.9</v>
      </c>
      <c r="F350">
        <v>3499</v>
      </c>
      <c r="G350" s="2" t="s">
        <v>62</v>
      </c>
      <c r="H350" s="2" t="s">
        <v>247</v>
      </c>
      <c r="I350">
        <v>22</v>
      </c>
      <c r="J350">
        <v>9</v>
      </c>
      <c r="K350">
        <v>2</v>
      </c>
      <c r="L350">
        <f t="shared" si="10"/>
        <v>2.3025850929940459</v>
      </c>
      <c r="M350">
        <f t="shared" si="11"/>
        <v>5.8576473993736426</v>
      </c>
    </row>
    <row r="351" spans="1:13" x14ac:dyDescent="0.2">
      <c r="A351" t="s">
        <v>246</v>
      </c>
      <c r="B351" t="s">
        <v>60</v>
      </c>
      <c r="C351" s="1" t="d">
        <v>2017-11-01</v>
      </c>
      <c r="D351">
        <v>11</v>
      </c>
      <c r="E351">
        <v>322.13636359999998</v>
      </c>
      <c r="F351" s="2" t="s">
        <v>249</v>
      </c>
      <c r="G351" s="2" t="s">
        <v>62</v>
      </c>
      <c r="H351">
        <v>77.936216999999999</v>
      </c>
      <c r="I351">
        <v>22</v>
      </c>
      <c r="J351">
        <v>8</v>
      </c>
      <c r="K351">
        <v>4</v>
      </c>
      <c r="L351">
        <f t="shared" si="10"/>
        <v>2.3978952727983707</v>
      </c>
      <c r="M351">
        <f t="shared" si="11"/>
        <v>5.7749749453390571</v>
      </c>
    </row>
    <row r="352" spans="1:13" x14ac:dyDescent="0.2">
      <c r="A352" t="s">
        <v>246</v>
      </c>
      <c r="B352" t="s">
        <v>60</v>
      </c>
      <c r="C352" s="1" t="d">
        <v>2017-12-01</v>
      </c>
      <c r="D352">
        <v>7</v>
      </c>
      <c r="E352">
        <v>349.9</v>
      </c>
      <c r="F352" s="2" t="s">
        <v>248</v>
      </c>
      <c r="G352" s="2" t="s">
        <v>62</v>
      </c>
      <c r="H352" s="2" t="s">
        <v>247</v>
      </c>
      <c r="I352">
        <v>21</v>
      </c>
      <c r="J352">
        <v>10</v>
      </c>
      <c r="K352">
        <v>1</v>
      </c>
      <c r="L352">
        <f t="shared" si="10"/>
        <v>1.9459101490553132</v>
      </c>
      <c r="M352">
        <f t="shared" si="11"/>
        <v>5.8576473993736426</v>
      </c>
    </row>
    <row r="353" spans="1:13" x14ac:dyDescent="0.2">
      <c r="A353" t="s">
        <v>246</v>
      </c>
      <c r="B353" t="s">
        <v>60</v>
      </c>
      <c r="C353" s="1" t="d">
        <v>2018-01-01</v>
      </c>
      <c r="D353">
        <v>12</v>
      </c>
      <c r="E353">
        <v>349.9</v>
      </c>
      <c r="F353" s="2" t="s">
        <v>250</v>
      </c>
      <c r="G353" s="2" t="s">
        <v>62</v>
      </c>
      <c r="H353" s="2" t="s">
        <v>247</v>
      </c>
      <c r="I353">
        <v>23</v>
      </c>
      <c r="J353">
        <v>8</v>
      </c>
      <c r="K353">
        <v>2</v>
      </c>
      <c r="L353">
        <f t="shared" si="10"/>
        <v>2.4849066497880004</v>
      </c>
      <c r="M353">
        <f t="shared" si="11"/>
        <v>5.8576473993736426</v>
      </c>
    </row>
    <row r="354" spans="1:13" x14ac:dyDescent="0.2">
      <c r="A354" t="s">
        <v>246</v>
      </c>
      <c r="B354" t="s">
        <v>60</v>
      </c>
      <c r="C354" s="1" t="d">
        <v>2018-02-01</v>
      </c>
      <c r="D354">
        <v>15</v>
      </c>
      <c r="E354">
        <v>349.9</v>
      </c>
      <c r="F354">
        <v>5248.5</v>
      </c>
      <c r="G354" s="2" t="s">
        <v>62</v>
      </c>
      <c r="H354" s="2" t="s">
        <v>247</v>
      </c>
      <c r="I354">
        <v>20</v>
      </c>
      <c r="J354">
        <v>8</v>
      </c>
      <c r="K354">
        <v>2</v>
      </c>
      <c r="L354">
        <f t="shared" si="10"/>
        <v>2.7080502011022101</v>
      </c>
      <c r="M354">
        <f t="shared" si="11"/>
        <v>5.8576473993736426</v>
      </c>
    </row>
    <row r="355" spans="1:13" x14ac:dyDescent="0.2">
      <c r="A355" t="s">
        <v>246</v>
      </c>
      <c r="B355" t="s">
        <v>60</v>
      </c>
      <c r="C355" s="1" t="d">
        <v>2018-03-01</v>
      </c>
      <c r="D355">
        <v>17</v>
      </c>
      <c r="E355">
        <v>349.9</v>
      </c>
      <c r="F355" s="2" t="s">
        <v>251</v>
      </c>
      <c r="G355" s="2" t="s">
        <v>62</v>
      </c>
      <c r="H355" s="2" t="s">
        <v>247</v>
      </c>
      <c r="I355">
        <v>22</v>
      </c>
      <c r="J355">
        <v>9</v>
      </c>
      <c r="K355">
        <v>1</v>
      </c>
      <c r="L355">
        <f t="shared" si="10"/>
        <v>2.8332133440562162</v>
      </c>
      <c r="M355">
        <f t="shared" si="11"/>
        <v>5.8576473993736426</v>
      </c>
    </row>
    <row r="356" spans="1:13" x14ac:dyDescent="0.2">
      <c r="A356" t="s">
        <v>246</v>
      </c>
      <c r="B356" t="s">
        <v>60</v>
      </c>
      <c r="C356" s="1" t="d">
        <v>2018-04-01</v>
      </c>
      <c r="D356">
        <v>7</v>
      </c>
      <c r="E356">
        <v>349.9</v>
      </c>
      <c r="F356" s="2" t="s">
        <v>248</v>
      </c>
      <c r="G356" s="2" t="s">
        <v>62</v>
      </c>
      <c r="H356" s="2" t="s">
        <v>247</v>
      </c>
      <c r="I356">
        <v>21</v>
      </c>
      <c r="J356">
        <v>9</v>
      </c>
      <c r="K356">
        <v>1</v>
      </c>
      <c r="L356">
        <f t="shared" si="10"/>
        <v>1.9459101490553132</v>
      </c>
      <c r="M356">
        <f t="shared" si="11"/>
        <v>5.8576473993736426</v>
      </c>
    </row>
    <row r="357" spans="1:13" x14ac:dyDescent="0.2">
      <c r="A357" t="s">
        <v>246</v>
      </c>
      <c r="B357" t="s">
        <v>60</v>
      </c>
      <c r="C357" s="1" t="d">
        <v>2018-05-01</v>
      </c>
      <c r="D357">
        <v>10</v>
      </c>
      <c r="E357">
        <v>352.25</v>
      </c>
      <c r="F357">
        <v>3522.5</v>
      </c>
      <c r="G357" s="2" t="s">
        <v>62</v>
      </c>
      <c r="H357">
        <v>85.221774193548399</v>
      </c>
      <c r="I357">
        <v>23</v>
      </c>
      <c r="J357">
        <v>8</v>
      </c>
      <c r="K357">
        <v>3</v>
      </c>
      <c r="L357">
        <f t="shared" si="10"/>
        <v>2.3025850929940459</v>
      </c>
      <c r="M357">
        <f t="shared" si="11"/>
        <v>5.8643411507787899</v>
      </c>
    </row>
    <row r="358" spans="1:13" x14ac:dyDescent="0.2">
      <c r="A358" t="s">
        <v>246</v>
      </c>
      <c r="B358" t="s">
        <v>60</v>
      </c>
      <c r="C358" s="1" t="d">
        <v>2018-06-01</v>
      </c>
      <c r="D358">
        <v>11</v>
      </c>
      <c r="E358">
        <v>364</v>
      </c>
      <c r="F358">
        <v>4004</v>
      </c>
      <c r="G358" s="2" t="s">
        <v>62</v>
      </c>
      <c r="H358" s="2" t="s">
        <v>252</v>
      </c>
      <c r="I358">
        <v>21</v>
      </c>
      <c r="J358">
        <v>9</v>
      </c>
      <c r="K358">
        <v>0</v>
      </c>
      <c r="L358">
        <f t="shared" si="10"/>
        <v>2.3978952727983707</v>
      </c>
      <c r="M358">
        <f t="shared" si="11"/>
        <v>5.8971538676367405</v>
      </c>
    </row>
    <row r="359" spans="1:13" x14ac:dyDescent="0.2">
      <c r="A359" t="s">
        <v>246</v>
      </c>
      <c r="B359" t="s">
        <v>60</v>
      </c>
      <c r="C359" s="1" t="d">
        <v>2018-07-01</v>
      </c>
      <c r="D359">
        <v>11</v>
      </c>
      <c r="E359">
        <v>364</v>
      </c>
      <c r="F359">
        <v>4004</v>
      </c>
      <c r="G359" s="2" t="s">
        <v>62</v>
      </c>
      <c r="H359" s="2" t="s">
        <v>252</v>
      </c>
      <c r="I359">
        <v>22</v>
      </c>
      <c r="J359">
        <v>9</v>
      </c>
      <c r="K359">
        <v>1</v>
      </c>
      <c r="L359">
        <f t="shared" si="10"/>
        <v>2.3978952727983707</v>
      </c>
      <c r="M359">
        <f t="shared" si="11"/>
        <v>5.8971538676367405</v>
      </c>
    </row>
    <row r="360" spans="1:13" x14ac:dyDescent="0.2">
      <c r="A360" t="s">
        <v>246</v>
      </c>
      <c r="B360" t="s">
        <v>60</v>
      </c>
      <c r="C360" s="1" t="d">
        <v>2018-08-01</v>
      </c>
      <c r="D360">
        <v>9</v>
      </c>
      <c r="E360">
        <v>364</v>
      </c>
      <c r="F360">
        <v>3276</v>
      </c>
      <c r="G360" s="2" t="s">
        <v>62</v>
      </c>
      <c r="H360" s="2" t="s">
        <v>252</v>
      </c>
      <c r="I360">
        <v>23</v>
      </c>
      <c r="J360">
        <v>8</v>
      </c>
      <c r="K360">
        <v>1</v>
      </c>
      <c r="L360">
        <f t="shared" si="10"/>
        <v>2.1972245773362196</v>
      </c>
      <c r="M360">
        <f t="shared" si="11"/>
        <v>5.8971538676367405</v>
      </c>
    </row>
    <row r="361" spans="1:13" x14ac:dyDescent="0.2">
      <c r="A361" t="s">
        <v>253</v>
      </c>
      <c r="B361" t="s">
        <v>156</v>
      </c>
      <c r="C361" s="1" t="d">
        <v>2017-07-01</v>
      </c>
      <c r="D361">
        <v>2</v>
      </c>
      <c r="E361">
        <v>239.9</v>
      </c>
      <c r="F361">
        <v>479.8</v>
      </c>
      <c r="G361" s="2" t="s">
        <v>13</v>
      </c>
      <c r="H361" s="2" t="s">
        <v>254</v>
      </c>
      <c r="I361">
        <v>21</v>
      </c>
      <c r="J361">
        <v>10</v>
      </c>
      <c r="K361">
        <v>1</v>
      </c>
      <c r="L361">
        <f t="shared" si="10"/>
        <v>0.69314718055994529</v>
      </c>
      <c r="M361">
        <f t="shared" si="11"/>
        <v>5.480222169845649</v>
      </c>
    </row>
    <row r="362" spans="1:13" x14ac:dyDescent="0.2">
      <c r="A362" t="s">
        <v>253</v>
      </c>
      <c r="B362" t="s">
        <v>156</v>
      </c>
      <c r="C362" s="1" t="d">
        <v>2017-10-01</v>
      </c>
      <c r="D362">
        <v>2</v>
      </c>
      <c r="E362">
        <v>239.9</v>
      </c>
      <c r="F362">
        <v>479.8</v>
      </c>
      <c r="G362" s="2" t="s">
        <v>13</v>
      </c>
      <c r="H362" s="2" t="s">
        <v>254</v>
      </c>
      <c r="I362">
        <v>22</v>
      </c>
      <c r="J362">
        <v>9</v>
      </c>
      <c r="K362">
        <v>2</v>
      </c>
      <c r="L362">
        <f t="shared" si="10"/>
        <v>0.69314718055994529</v>
      </c>
      <c r="M362">
        <f t="shared" si="11"/>
        <v>5.480222169845649</v>
      </c>
    </row>
    <row r="363" spans="1:13" x14ac:dyDescent="0.2">
      <c r="A363" t="s">
        <v>253</v>
      </c>
      <c r="B363" t="s">
        <v>156</v>
      </c>
      <c r="C363" s="1" t="d">
        <v>2018-01-01</v>
      </c>
      <c r="D363">
        <v>2</v>
      </c>
      <c r="E363">
        <v>229.9</v>
      </c>
      <c r="F363">
        <v>459.8</v>
      </c>
      <c r="G363" s="2" t="s">
        <v>13</v>
      </c>
      <c r="H363" s="2" t="s">
        <v>255</v>
      </c>
      <c r="I363">
        <v>23</v>
      </c>
      <c r="J363">
        <v>8</v>
      </c>
      <c r="K363">
        <v>2</v>
      </c>
      <c r="L363">
        <f t="shared" si="10"/>
        <v>0.69314718055994529</v>
      </c>
      <c r="M363">
        <f t="shared" si="11"/>
        <v>5.4376444317691357</v>
      </c>
    </row>
    <row r="364" spans="1:13" x14ac:dyDescent="0.2">
      <c r="A364" t="s">
        <v>253</v>
      </c>
      <c r="B364" t="s">
        <v>156</v>
      </c>
      <c r="C364" s="1" t="d">
        <v>2018-02-01</v>
      </c>
      <c r="D364">
        <v>11</v>
      </c>
      <c r="E364">
        <v>204.6181818</v>
      </c>
      <c r="F364">
        <v>2250.7999998</v>
      </c>
      <c r="G364" s="2" t="s">
        <v>47</v>
      </c>
      <c r="H364" s="2" t="s">
        <v>256</v>
      </c>
      <c r="I364">
        <v>20</v>
      </c>
      <c r="J364">
        <v>8</v>
      </c>
      <c r="K364">
        <v>2</v>
      </c>
      <c r="L364">
        <f t="shared" si="10"/>
        <v>2.3978952727983707</v>
      </c>
      <c r="M364">
        <f t="shared" si="11"/>
        <v>5.3211457146718963</v>
      </c>
    </row>
    <row r="365" spans="1:13" x14ac:dyDescent="0.2">
      <c r="A365" t="s">
        <v>253</v>
      </c>
      <c r="B365" t="s">
        <v>156</v>
      </c>
      <c r="C365" s="1" t="d">
        <v>2018-03-01</v>
      </c>
      <c r="D365">
        <v>16</v>
      </c>
      <c r="E365">
        <v>167.5</v>
      </c>
      <c r="F365">
        <v>2680</v>
      </c>
      <c r="G365" s="2" t="s">
        <v>47</v>
      </c>
      <c r="H365" s="2" t="s">
        <v>257</v>
      </c>
      <c r="I365">
        <v>22</v>
      </c>
      <c r="J365">
        <v>9</v>
      </c>
      <c r="K365">
        <v>1</v>
      </c>
      <c r="L365">
        <f t="shared" si="10"/>
        <v>2.7725887222397811</v>
      </c>
      <c r="M365">
        <f t="shared" si="11"/>
        <v>5.1209833512651208</v>
      </c>
    </row>
    <row r="366" spans="1:13" x14ac:dyDescent="0.2">
      <c r="A366" t="s">
        <v>253</v>
      </c>
      <c r="B366" t="s">
        <v>156</v>
      </c>
      <c r="C366" s="1" t="d">
        <v>2018-04-01</v>
      </c>
      <c r="D366">
        <v>26</v>
      </c>
      <c r="E366">
        <v>150.34230769999999</v>
      </c>
      <c r="F366">
        <v>3908.9000001999998</v>
      </c>
      <c r="G366" s="2" t="s">
        <v>47</v>
      </c>
      <c r="H366" s="2" t="s">
        <v>258</v>
      </c>
      <c r="I366">
        <v>21</v>
      </c>
      <c r="J366">
        <v>9</v>
      </c>
      <c r="K366">
        <v>1</v>
      </c>
      <c r="L366">
        <f t="shared" si="10"/>
        <v>3.2580965380214821</v>
      </c>
      <c r="M366">
        <f t="shared" si="11"/>
        <v>5.0129147455051344</v>
      </c>
    </row>
    <row r="367" spans="1:13" x14ac:dyDescent="0.2">
      <c r="A367" t="s">
        <v>253</v>
      </c>
      <c r="B367" t="s">
        <v>156</v>
      </c>
      <c r="C367" s="1" t="d">
        <v>2018-05-01</v>
      </c>
      <c r="D367">
        <v>30</v>
      </c>
      <c r="E367">
        <v>145.16666670000001</v>
      </c>
      <c r="F367">
        <v>4355.0000010000003</v>
      </c>
      <c r="G367" s="2" t="s">
        <v>47</v>
      </c>
      <c r="H367">
        <v>35.120967749999998</v>
      </c>
      <c r="I367">
        <v>23</v>
      </c>
      <c r="J367">
        <v>8</v>
      </c>
      <c r="K367">
        <v>3</v>
      </c>
      <c r="L367">
        <f t="shared" si="10"/>
        <v>3.4011973816621555</v>
      </c>
      <c r="M367">
        <f t="shared" si="11"/>
        <v>4.9778825078540692</v>
      </c>
    </row>
    <row r="368" spans="1:13" x14ac:dyDescent="0.2">
      <c r="A368" t="s">
        <v>253</v>
      </c>
      <c r="B368" t="s">
        <v>156</v>
      </c>
      <c r="C368" s="1" t="d">
        <v>2018-06-01</v>
      </c>
      <c r="D368">
        <v>3</v>
      </c>
      <c r="E368">
        <v>152.6333333</v>
      </c>
      <c r="F368">
        <v>457.89999990000001</v>
      </c>
      <c r="G368" s="2" t="s">
        <v>47</v>
      </c>
      <c r="H368" s="2" t="s">
        <v>259</v>
      </c>
      <c r="I368">
        <v>21</v>
      </c>
      <c r="J368">
        <v>9</v>
      </c>
      <c r="K368">
        <v>0</v>
      </c>
      <c r="L368">
        <f t="shared" si="10"/>
        <v>1.0986122886681098</v>
      </c>
      <c r="M368">
        <f t="shared" si="11"/>
        <v>5.0280385307765521</v>
      </c>
    </row>
    <row r="369" spans="1:13" x14ac:dyDescent="0.2">
      <c r="A369" t="s">
        <v>253</v>
      </c>
      <c r="B369" t="s">
        <v>156</v>
      </c>
      <c r="C369" s="1" t="d">
        <v>2018-07-01</v>
      </c>
      <c r="D369">
        <v>14</v>
      </c>
      <c r="E369">
        <v>157.14285709999999</v>
      </c>
      <c r="F369">
        <v>2199.9999994</v>
      </c>
      <c r="G369" s="2" t="s">
        <v>47</v>
      </c>
      <c r="H369" s="2" t="s">
        <v>260</v>
      </c>
      <c r="I369">
        <v>22</v>
      </c>
      <c r="J369">
        <v>9</v>
      </c>
      <c r="K369">
        <v>1</v>
      </c>
      <c r="L369">
        <f t="shared" si="10"/>
        <v>2.6390573296152584</v>
      </c>
      <c r="M369">
        <f t="shared" si="11"/>
        <v>5.0571553094584214</v>
      </c>
    </row>
    <row r="370" spans="1:13" x14ac:dyDescent="0.2">
      <c r="A370" t="s">
        <v>253</v>
      </c>
      <c r="B370" t="s">
        <v>156</v>
      </c>
      <c r="C370" s="1" t="d">
        <v>2018-08-01</v>
      </c>
      <c r="D370">
        <v>11</v>
      </c>
      <c r="E370">
        <v>157.94545450000001</v>
      </c>
      <c r="F370" s="2" t="s">
        <v>261</v>
      </c>
      <c r="G370" s="2" t="s">
        <v>47</v>
      </c>
      <c r="H370" s="2" t="s">
        <v>262</v>
      </c>
      <c r="I370">
        <v>23</v>
      </c>
      <c r="J370">
        <v>8</v>
      </c>
      <c r="K370">
        <v>1</v>
      </c>
      <c r="L370">
        <f t="shared" si="10"/>
        <v>2.3978952727983707</v>
      </c>
      <c r="M370">
        <f t="shared" si="11"/>
        <v>5.0622497487396636</v>
      </c>
    </row>
    <row r="371" spans="1:13" x14ac:dyDescent="0.2">
      <c r="A371" t="s">
        <v>263</v>
      </c>
      <c r="B371" t="s">
        <v>264</v>
      </c>
      <c r="C371" s="1" t="d">
        <v>2017-11-01</v>
      </c>
      <c r="D371">
        <v>1</v>
      </c>
      <c r="E371">
        <v>99.9</v>
      </c>
      <c r="F371">
        <v>99.9</v>
      </c>
      <c r="G371" s="2" t="s">
        <v>240</v>
      </c>
      <c r="H371" s="2" t="s">
        <v>265</v>
      </c>
      <c r="I371">
        <v>22</v>
      </c>
      <c r="J371">
        <v>8</v>
      </c>
      <c r="K371">
        <v>4</v>
      </c>
      <c r="L371">
        <f t="shared" si="10"/>
        <v>0</v>
      </c>
      <c r="M371">
        <f t="shared" si="11"/>
        <v>4.604169685654508</v>
      </c>
    </row>
    <row r="372" spans="1:13" x14ac:dyDescent="0.2">
      <c r="A372" t="s">
        <v>263</v>
      </c>
      <c r="B372" t="s">
        <v>264</v>
      </c>
      <c r="C372" s="1" t="d">
        <v>2017-12-01</v>
      </c>
      <c r="D372">
        <v>3</v>
      </c>
      <c r="E372">
        <v>99.9</v>
      </c>
      <c r="F372" s="2" t="s">
        <v>266</v>
      </c>
      <c r="G372" s="2" t="s">
        <v>75</v>
      </c>
      <c r="H372">
        <v>23.975999999999999</v>
      </c>
      <c r="I372">
        <v>21</v>
      </c>
      <c r="J372">
        <v>10</v>
      </c>
      <c r="K372">
        <v>1</v>
      </c>
      <c r="L372">
        <f t="shared" si="10"/>
        <v>1.0986122886681098</v>
      </c>
      <c r="M372">
        <f t="shared" si="11"/>
        <v>4.604169685654508</v>
      </c>
    </row>
    <row r="373" spans="1:13" x14ac:dyDescent="0.2">
      <c r="A373" t="s">
        <v>263</v>
      </c>
      <c r="B373" t="s">
        <v>264</v>
      </c>
      <c r="C373" s="1" t="d">
        <v>2018-01-01</v>
      </c>
      <c r="D373">
        <v>13</v>
      </c>
      <c r="E373">
        <v>99.9</v>
      </c>
      <c r="F373">
        <v>1298.7</v>
      </c>
      <c r="G373" s="2" t="s">
        <v>240</v>
      </c>
      <c r="H373" s="2" t="s">
        <v>265</v>
      </c>
      <c r="I373">
        <v>23</v>
      </c>
      <c r="J373">
        <v>8</v>
      </c>
      <c r="K373">
        <v>2</v>
      </c>
      <c r="L373">
        <f t="shared" si="10"/>
        <v>2.5649493574615367</v>
      </c>
      <c r="M373">
        <f t="shared" si="11"/>
        <v>4.604169685654508</v>
      </c>
    </row>
    <row r="374" spans="1:13" x14ac:dyDescent="0.2">
      <c r="A374" t="s">
        <v>263</v>
      </c>
      <c r="B374" t="s">
        <v>264</v>
      </c>
      <c r="C374" s="1" t="d">
        <v>2018-02-01</v>
      </c>
      <c r="D374">
        <v>13</v>
      </c>
      <c r="E374">
        <v>99.9</v>
      </c>
      <c r="F374">
        <v>1298.7</v>
      </c>
      <c r="G374" s="2" t="s">
        <v>240</v>
      </c>
      <c r="H374" s="2" t="s">
        <v>265</v>
      </c>
      <c r="I374">
        <v>20</v>
      </c>
      <c r="J374">
        <v>8</v>
      </c>
      <c r="K374">
        <v>2</v>
      </c>
      <c r="L374">
        <f t="shared" si="10"/>
        <v>2.5649493574615367</v>
      </c>
      <c r="M374">
        <f t="shared" si="11"/>
        <v>4.604169685654508</v>
      </c>
    </row>
    <row r="375" spans="1:13" x14ac:dyDescent="0.2">
      <c r="A375" t="s">
        <v>263</v>
      </c>
      <c r="B375" t="s">
        <v>264</v>
      </c>
      <c r="C375" s="1" t="d">
        <v>2018-03-01</v>
      </c>
      <c r="D375">
        <v>12</v>
      </c>
      <c r="E375">
        <v>99.9</v>
      </c>
      <c r="F375" s="2" t="s">
        <v>267</v>
      </c>
      <c r="G375" s="2" t="s">
        <v>240</v>
      </c>
      <c r="H375" s="2" t="s">
        <v>265</v>
      </c>
      <c r="I375">
        <v>22</v>
      </c>
      <c r="J375">
        <v>9</v>
      </c>
      <c r="K375">
        <v>1</v>
      </c>
      <c r="L375">
        <f t="shared" si="10"/>
        <v>2.4849066497880004</v>
      </c>
      <c r="M375">
        <f t="shared" si="11"/>
        <v>4.604169685654508</v>
      </c>
    </row>
    <row r="376" spans="1:13" x14ac:dyDescent="0.2">
      <c r="A376" t="s">
        <v>263</v>
      </c>
      <c r="B376" t="s">
        <v>264</v>
      </c>
      <c r="C376" s="1" t="d">
        <v>2018-04-01</v>
      </c>
      <c r="D376">
        <v>13</v>
      </c>
      <c r="E376">
        <v>99.9</v>
      </c>
      <c r="F376">
        <v>1298.7</v>
      </c>
      <c r="G376" s="2" t="s">
        <v>240</v>
      </c>
      <c r="H376" s="2" t="s">
        <v>265</v>
      </c>
      <c r="I376">
        <v>21</v>
      </c>
      <c r="J376">
        <v>9</v>
      </c>
      <c r="K376">
        <v>1</v>
      </c>
      <c r="L376">
        <f t="shared" si="10"/>
        <v>2.5649493574615367</v>
      </c>
      <c r="M376">
        <f t="shared" si="11"/>
        <v>4.604169685654508</v>
      </c>
    </row>
    <row r="377" spans="1:13" x14ac:dyDescent="0.2">
      <c r="A377" t="s">
        <v>263</v>
      </c>
      <c r="B377" t="s">
        <v>264</v>
      </c>
      <c r="C377" s="1" t="d">
        <v>2018-05-01</v>
      </c>
      <c r="D377">
        <v>13</v>
      </c>
      <c r="E377">
        <v>99.9</v>
      </c>
      <c r="F377">
        <v>1298.7</v>
      </c>
      <c r="G377" s="2" t="s">
        <v>240</v>
      </c>
      <c r="H377" s="2" t="s">
        <v>265</v>
      </c>
      <c r="I377">
        <v>23</v>
      </c>
      <c r="J377">
        <v>8</v>
      </c>
      <c r="K377">
        <v>3</v>
      </c>
      <c r="L377">
        <f t="shared" si="10"/>
        <v>2.5649493574615367</v>
      </c>
      <c r="M377">
        <f t="shared" si="11"/>
        <v>4.604169685654508</v>
      </c>
    </row>
    <row r="378" spans="1:13" x14ac:dyDescent="0.2">
      <c r="A378" t="s">
        <v>263</v>
      </c>
      <c r="B378" t="s">
        <v>264</v>
      </c>
      <c r="C378" s="1" t="d">
        <v>2018-06-01</v>
      </c>
      <c r="D378">
        <v>10</v>
      </c>
      <c r="E378">
        <v>99.9</v>
      </c>
      <c r="F378">
        <v>999</v>
      </c>
      <c r="G378" s="2" t="s">
        <v>240</v>
      </c>
      <c r="H378" s="2" t="s">
        <v>265</v>
      </c>
      <c r="I378">
        <v>21</v>
      </c>
      <c r="J378">
        <v>9</v>
      </c>
      <c r="K378">
        <v>0</v>
      </c>
      <c r="L378">
        <f t="shared" si="10"/>
        <v>2.3025850929940459</v>
      </c>
      <c r="M378">
        <f t="shared" si="11"/>
        <v>4.604169685654508</v>
      </c>
    </row>
    <row r="379" spans="1:13" x14ac:dyDescent="0.2">
      <c r="A379" t="s">
        <v>263</v>
      </c>
      <c r="B379" t="s">
        <v>264</v>
      </c>
      <c r="C379" s="1" t="d">
        <v>2018-07-01</v>
      </c>
      <c r="D379">
        <v>14</v>
      </c>
      <c r="E379">
        <v>78.535714290000001</v>
      </c>
      <c r="F379">
        <v>1099.50000006</v>
      </c>
      <c r="G379" s="2" t="s">
        <v>240</v>
      </c>
      <c r="H379" s="2" t="s">
        <v>268</v>
      </c>
      <c r="I379">
        <v>22</v>
      </c>
      <c r="J379">
        <v>9</v>
      </c>
      <c r="K379">
        <v>1</v>
      </c>
      <c r="L379">
        <f t="shared" si="10"/>
        <v>2.6390573296152584</v>
      </c>
      <c r="M379">
        <f t="shared" si="11"/>
        <v>4.3635534804341276</v>
      </c>
    </row>
    <row r="380" spans="1:13" x14ac:dyDescent="0.2">
      <c r="A380" t="s">
        <v>263</v>
      </c>
      <c r="B380" t="s">
        <v>264</v>
      </c>
      <c r="C380" s="1" t="d">
        <v>2018-08-01</v>
      </c>
      <c r="D380">
        <v>9</v>
      </c>
      <c r="E380">
        <v>83.833333330000002</v>
      </c>
      <c r="F380">
        <v>754.49999996999998</v>
      </c>
      <c r="G380" s="2" t="s">
        <v>240</v>
      </c>
      <c r="H380" s="2" t="s">
        <v>269</v>
      </c>
      <c r="I380">
        <v>23</v>
      </c>
      <c r="J380">
        <v>8</v>
      </c>
      <c r="K380">
        <v>1</v>
      </c>
      <c r="L380">
        <f t="shared" si="10"/>
        <v>2.1972245773362196</v>
      </c>
      <c r="M380">
        <f t="shared" si="11"/>
        <v>4.4288307008319228</v>
      </c>
    </row>
    <row r="381" spans="1:13" x14ac:dyDescent="0.2">
      <c r="A381" t="s">
        <v>270</v>
      </c>
      <c r="B381" t="s">
        <v>156</v>
      </c>
      <c r="C381" s="1" t="d">
        <v>2017-08-01</v>
      </c>
      <c r="D381">
        <v>8</v>
      </c>
      <c r="E381">
        <v>229.9</v>
      </c>
      <c r="F381">
        <v>1839.2</v>
      </c>
      <c r="G381" s="2" t="s">
        <v>13</v>
      </c>
      <c r="H381" s="2" t="s">
        <v>255</v>
      </c>
      <c r="I381">
        <v>23</v>
      </c>
      <c r="J381">
        <v>8</v>
      </c>
      <c r="K381">
        <v>1</v>
      </c>
      <c r="L381">
        <f t="shared" si="10"/>
        <v>2.0794415416798357</v>
      </c>
      <c r="M381">
        <f t="shared" si="11"/>
        <v>5.4376444317691357</v>
      </c>
    </row>
    <row r="382" spans="1:13" x14ac:dyDescent="0.2">
      <c r="A382" t="s">
        <v>270</v>
      </c>
      <c r="B382" t="s">
        <v>156</v>
      </c>
      <c r="C382" s="1" t="d">
        <v>2017-09-01</v>
      </c>
      <c r="D382">
        <v>10</v>
      </c>
      <c r="E382">
        <v>219.06</v>
      </c>
      <c r="F382">
        <v>2190.6</v>
      </c>
      <c r="G382" s="2" t="s">
        <v>13</v>
      </c>
      <c r="H382" s="2" t="s">
        <v>271</v>
      </c>
      <c r="I382">
        <v>21</v>
      </c>
      <c r="J382">
        <v>9</v>
      </c>
      <c r="K382">
        <v>1</v>
      </c>
      <c r="L382">
        <f t="shared" si="10"/>
        <v>2.3025850929940459</v>
      </c>
      <c r="M382">
        <f t="shared" si="11"/>
        <v>5.3893456648956004</v>
      </c>
    </row>
    <row r="383" spans="1:13" x14ac:dyDescent="0.2">
      <c r="A383" t="s">
        <v>270</v>
      </c>
      <c r="B383" t="s">
        <v>156</v>
      </c>
      <c r="C383" s="1" t="d">
        <v>2017-10-01</v>
      </c>
      <c r="D383">
        <v>8</v>
      </c>
      <c r="E383">
        <v>216.15</v>
      </c>
      <c r="F383">
        <v>1729.2</v>
      </c>
      <c r="G383" s="2" t="s">
        <v>13</v>
      </c>
      <c r="H383" s="2" t="s">
        <v>272</v>
      </c>
      <c r="I383">
        <v>22</v>
      </c>
      <c r="J383">
        <v>9</v>
      </c>
      <c r="K383">
        <v>2</v>
      </c>
      <c r="L383">
        <f t="shared" si="10"/>
        <v>2.0794415416798357</v>
      </c>
      <c r="M383">
        <f t="shared" si="11"/>
        <v>5.3759726111136406</v>
      </c>
    </row>
    <row r="384" spans="1:13" x14ac:dyDescent="0.2">
      <c r="A384" t="s">
        <v>270</v>
      </c>
      <c r="B384" t="s">
        <v>156</v>
      </c>
      <c r="C384" s="1" t="d">
        <v>2017-11-01</v>
      </c>
      <c r="D384">
        <v>12</v>
      </c>
      <c r="E384">
        <v>203.29090909999999</v>
      </c>
      <c r="F384">
        <v>2439.4909091999998</v>
      </c>
      <c r="G384" s="2" t="s">
        <v>47</v>
      </c>
      <c r="H384" s="2" t="s">
        <v>273</v>
      </c>
      <c r="I384">
        <v>22</v>
      </c>
      <c r="J384">
        <v>8</v>
      </c>
      <c r="K384">
        <v>4</v>
      </c>
      <c r="L384">
        <f t="shared" si="10"/>
        <v>2.4849066497880004</v>
      </c>
      <c r="M384">
        <f t="shared" si="11"/>
        <v>5.3146380029596161</v>
      </c>
    </row>
    <row r="385" spans="1:13" x14ac:dyDescent="0.2">
      <c r="A385" t="s">
        <v>270</v>
      </c>
      <c r="B385" t="s">
        <v>156</v>
      </c>
      <c r="C385" s="1" t="d">
        <v>2017-12-01</v>
      </c>
      <c r="D385">
        <v>28</v>
      </c>
      <c r="E385">
        <v>224.54285709999999</v>
      </c>
      <c r="F385">
        <v>6287.1999987999998</v>
      </c>
      <c r="G385" s="2" t="s">
        <v>47</v>
      </c>
      <c r="H385" s="2" t="s">
        <v>274</v>
      </c>
      <c r="I385">
        <v>21</v>
      </c>
      <c r="J385">
        <v>10</v>
      </c>
      <c r="K385">
        <v>1</v>
      </c>
      <c r="L385">
        <f t="shared" si="10"/>
        <v>3.3322045101752038</v>
      </c>
      <c r="M385">
        <f t="shared" si="11"/>
        <v>5.4140665891858974</v>
      </c>
    </row>
    <row r="386" spans="1:13" x14ac:dyDescent="0.2">
      <c r="A386" t="s">
        <v>270</v>
      </c>
      <c r="B386" t="s">
        <v>156</v>
      </c>
      <c r="C386" s="1" t="d">
        <v>2018-01-01</v>
      </c>
      <c r="D386">
        <v>10</v>
      </c>
      <c r="E386">
        <v>220.77</v>
      </c>
      <c r="F386" s="2" t="s">
        <v>275</v>
      </c>
      <c r="G386" s="2" t="s">
        <v>13</v>
      </c>
      <c r="H386" s="2" t="s">
        <v>276</v>
      </c>
      <c r="I386">
        <v>23</v>
      </c>
      <c r="J386">
        <v>8</v>
      </c>
      <c r="K386">
        <v>2</v>
      </c>
      <c r="L386">
        <f t="shared" si="10"/>
        <v>2.3025850929940459</v>
      </c>
      <c r="M386">
        <f t="shared" si="11"/>
        <v>5.3971214356066177</v>
      </c>
    </row>
    <row r="387" spans="1:13" x14ac:dyDescent="0.2">
      <c r="A387" t="s">
        <v>270</v>
      </c>
      <c r="B387" t="s">
        <v>156</v>
      </c>
      <c r="C387" s="1" t="d">
        <v>2018-02-01</v>
      </c>
      <c r="D387">
        <v>21</v>
      </c>
      <c r="E387">
        <v>205.6857143</v>
      </c>
      <c r="F387">
        <v>4319.4000003000001</v>
      </c>
      <c r="G387" s="2" t="s">
        <v>47</v>
      </c>
      <c r="H387" s="2" t="s">
        <v>277</v>
      </c>
      <c r="I387">
        <v>20</v>
      </c>
      <c r="J387">
        <v>8</v>
      </c>
      <c r="K387">
        <v>2</v>
      </c>
      <c r="L387">
        <f t="shared" ref="L387:L450" si="12">IF(D387&gt;0, LN(D387), "")</f>
        <v>3.044522437723423</v>
      </c>
      <c r="M387">
        <f t="shared" ref="M387:M450" si="13">LN(E387)</f>
        <v>5.3263493450493433</v>
      </c>
    </row>
    <row r="388" spans="1:13" x14ac:dyDescent="0.2">
      <c r="A388" t="s">
        <v>270</v>
      </c>
      <c r="B388" t="s">
        <v>156</v>
      </c>
      <c r="C388" s="1" t="d">
        <v>2018-03-01</v>
      </c>
      <c r="D388">
        <v>16</v>
      </c>
      <c r="E388">
        <v>216.1875</v>
      </c>
      <c r="F388">
        <v>3459</v>
      </c>
      <c r="G388" s="2" t="s">
        <v>47</v>
      </c>
      <c r="H388" s="2" t="s">
        <v>278</v>
      </c>
      <c r="I388">
        <v>22</v>
      </c>
      <c r="J388">
        <v>9</v>
      </c>
      <c r="K388">
        <v>1</v>
      </c>
      <c r="L388">
        <f t="shared" si="12"/>
        <v>2.7725887222397811</v>
      </c>
      <c r="M388">
        <f t="shared" si="13"/>
        <v>5.3761460866973874</v>
      </c>
    </row>
    <row r="389" spans="1:13" x14ac:dyDescent="0.2">
      <c r="A389" t="s">
        <v>270</v>
      </c>
      <c r="B389" t="s">
        <v>156</v>
      </c>
      <c r="C389" s="1" t="d">
        <v>2018-04-01</v>
      </c>
      <c r="D389">
        <v>13</v>
      </c>
      <c r="E389">
        <v>204.3846154</v>
      </c>
      <c r="F389">
        <v>2657.0000002000002</v>
      </c>
      <c r="G389" s="2" t="s">
        <v>47</v>
      </c>
      <c r="H389" s="2" t="s">
        <v>279</v>
      </c>
      <c r="I389">
        <v>21</v>
      </c>
      <c r="J389">
        <v>9</v>
      </c>
      <c r="K389">
        <v>1</v>
      </c>
      <c r="L389">
        <f t="shared" si="12"/>
        <v>2.5649493574615367</v>
      </c>
      <c r="M389">
        <f t="shared" si="13"/>
        <v>5.3200035883735497</v>
      </c>
    </row>
    <row r="390" spans="1:13" x14ac:dyDescent="0.2">
      <c r="A390" t="s">
        <v>270</v>
      </c>
      <c r="B390" t="s">
        <v>156</v>
      </c>
      <c r="C390" s="1" t="d">
        <v>2018-05-01</v>
      </c>
      <c r="D390">
        <v>17</v>
      </c>
      <c r="E390">
        <v>199</v>
      </c>
      <c r="F390">
        <v>3383</v>
      </c>
      <c r="G390" s="2" t="s">
        <v>47</v>
      </c>
      <c r="H390" s="2" t="s">
        <v>280</v>
      </c>
      <c r="I390">
        <v>23</v>
      </c>
      <c r="J390">
        <v>8</v>
      </c>
      <c r="K390">
        <v>3</v>
      </c>
      <c r="L390">
        <f t="shared" si="12"/>
        <v>2.8332133440562162</v>
      </c>
      <c r="M390">
        <f t="shared" si="13"/>
        <v>5.2933048247244923</v>
      </c>
    </row>
    <row r="391" spans="1:13" x14ac:dyDescent="0.2">
      <c r="A391" t="s">
        <v>281</v>
      </c>
      <c r="B391" t="s">
        <v>60</v>
      </c>
      <c r="C391" s="1" t="d">
        <v>2017-01-01</v>
      </c>
      <c r="D391">
        <v>1</v>
      </c>
      <c r="E391">
        <v>64.989999999999995</v>
      </c>
      <c r="F391">
        <v>64.989999999999995</v>
      </c>
      <c r="G391" s="2" t="s">
        <v>240</v>
      </c>
      <c r="H391" s="2" t="s">
        <v>282</v>
      </c>
      <c r="I391">
        <v>22</v>
      </c>
      <c r="J391">
        <v>9</v>
      </c>
      <c r="K391">
        <v>1</v>
      </c>
      <c r="L391">
        <f t="shared" si="12"/>
        <v>0</v>
      </c>
      <c r="M391">
        <f t="shared" si="13"/>
        <v>4.1742334119062576</v>
      </c>
    </row>
    <row r="392" spans="1:13" x14ac:dyDescent="0.2">
      <c r="A392" t="s">
        <v>281</v>
      </c>
      <c r="B392" t="s">
        <v>60</v>
      </c>
      <c r="C392" s="1" t="d">
        <v>2017-02-01</v>
      </c>
      <c r="D392">
        <v>5</v>
      </c>
      <c r="E392">
        <v>64.989999999999995</v>
      </c>
      <c r="F392">
        <v>324.95</v>
      </c>
      <c r="G392" s="2" t="s">
        <v>27</v>
      </c>
      <c r="H392" s="2" t="s">
        <v>283</v>
      </c>
      <c r="I392">
        <v>20</v>
      </c>
      <c r="J392">
        <v>8</v>
      </c>
      <c r="K392">
        <v>2</v>
      </c>
      <c r="L392">
        <f t="shared" si="12"/>
        <v>1.6094379124341003</v>
      </c>
      <c r="M392">
        <f t="shared" si="13"/>
        <v>4.1742334119062576</v>
      </c>
    </row>
    <row r="393" spans="1:13" x14ac:dyDescent="0.2">
      <c r="A393" t="s">
        <v>281</v>
      </c>
      <c r="B393" t="s">
        <v>60</v>
      </c>
      <c r="C393" s="1" t="d">
        <v>2017-03-01</v>
      </c>
      <c r="D393">
        <v>9</v>
      </c>
      <c r="E393">
        <v>64.989999999999995</v>
      </c>
      <c r="F393">
        <v>584.91</v>
      </c>
      <c r="G393" s="2" t="s">
        <v>62</v>
      </c>
      <c r="H393" s="2" t="s">
        <v>132</v>
      </c>
      <c r="I393">
        <v>23</v>
      </c>
      <c r="J393">
        <v>8</v>
      </c>
      <c r="K393">
        <v>1</v>
      </c>
      <c r="L393">
        <f t="shared" si="12"/>
        <v>2.1972245773362196</v>
      </c>
      <c r="M393">
        <f t="shared" si="13"/>
        <v>4.1742334119062576</v>
      </c>
    </row>
    <row r="394" spans="1:13" x14ac:dyDescent="0.2">
      <c r="A394" t="s">
        <v>281</v>
      </c>
      <c r="B394" t="s">
        <v>60</v>
      </c>
      <c r="C394" s="1" t="d">
        <v>2017-04-01</v>
      </c>
      <c r="D394">
        <v>9</v>
      </c>
      <c r="E394">
        <v>64.989999999999995</v>
      </c>
      <c r="F394">
        <v>584.91</v>
      </c>
      <c r="G394" s="2" t="s">
        <v>27</v>
      </c>
      <c r="H394" s="2" t="s">
        <v>283</v>
      </c>
      <c r="I394">
        <v>20</v>
      </c>
      <c r="J394">
        <v>10</v>
      </c>
      <c r="K394">
        <v>2</v>
      </c>
      <c r="L394">
        <f t="shared" si="12"/>
        <v>2.1972245773362196</v>
      </c>
      <c r="M394">
        <f t="shared" si="13"/>
        <v>4.1742334119062576</v>
      </c>
    </row>
    <row r="395" spans="1:13" x14ac:dyDescent="0.2">
      <c r="A395" t="s">
        <v>281</v>
      </c>
      <c r="B395" t="s">
        <v>60</v>
      </c>
      <c r="C395" s="1" t="d">
        <v>2017-05-01</v>
      </c>
      <c r="D395">
        <v>16</v>
      </c>
      <c r="E395">
        <v>64.989999999999995</v>
      </c>
      <c r="F395">
        <v>1039.8399999999999</v>
      </c>
      <c r="G395" s="2" t="s">
        <v>62</v>
      </c>
      <c r="H395" s="2" t="s">
        <v>132</v>
      </c>
      <c r="I395">
        <v>23</v>
      </c>
      <c r="J395">
        <v>8</v>
      </c>
      <c r="K395">
        <v>1</v>
      </c>
      <c r="L395">
        <f t="shared" si="12"/>
        <v>2.7725887222397811</v>
      </c>
      <c r="M395">
        <f t="shared" si="13"/>
        <v>4.1742334119062576</v>
      </c>
    </row>
    <row r="396" spans="1:13" x14ac:dyDescent="0.2">
      <c r="A396" t="s">
        <v>281</v>
      </c>
      <c r="B396" t="s">
        <v>60</v>
      </c>
      <c r="C396" s="1" t="d">
        <v>2017-06-01</v>
      </c>
      <c r="D396">
        <v>21</v>
      </c>
      <c r="E396">
        <v>58.799523809999997</v>
      </c>
      <c r="F396" s="2" t="s">
        <v>284</v>
      </c>
      <c r="G396" s="2" t="s">
        <v>62</v>
      </c>
      <c r="H396" s="2" t="s">
        <v>285</v>
      </c>
      <c r="I396">
        <v>22</v>
      </c>
      <c r="J396">
        <v>8</v>
      </c>
      <c r="K396">
        <v>1</v>
      </c>
      <c r="L396">
        <f t="shared" si="12"/>
        <v>3.044522437723423</v>
      </c>
      <c r="M396">
        <f t="shared" si="13"/>
        <v>4.0741337564024009</v>
      </c>
    </row>
    <row r="397" spans="1:13" x14ac:dyDescent="0.2">
      <c r="A397" t="s">
        <v>281</v>
      </c>
      <c r="B397" t="s">
        <v>60</v>
      </c>
      <c r="C397" s="1" t="d">
        <v>2017-07-01</v>
      </c>
      <c r="D397">
        <v>15</v>
      </c>
      <c r="E397">
        <v>59.256666670000001</v>
      </c>
      <c r="F397" s="2" t="s">
        <v>286</v>
      </c>
      <c r="G397" s="2" t="s">
        <v>62</v>
      </c>
      <c r="H397" s="2" t="s">
        <v>287</v>
      </c>
      <c r="I397">
        <v>21</v>
      </c>
      <c r="J397">
        <v>10</v>
      </c>
      <c r="K397">
        <v>1</v>
      </c>
      <c r="L397">
        <f t="shared" si="12"/>
        <v>2.7080502011022101</v>
      </c>
      <c r="M397">
        <f t="shared" si="13"/>
        <v>4.0818782913227372</v>
      </c>
    </row>
    <row r="398" spans="1:13" x14ac:dyDescent="0.2">
      <c r="A398" t="s">
        <v>281</v>
      </c>
      <c r="B398" t="s">
        <v>60</v>
      </c>
      <c r="C398" s="1" t="d">
        <v>2017-08-01</v>
      </c>
      <c r="D398">
        <v>22</v>
      </c>
      <c r="E398">
        <v>58.99</v>
      </c>
      <c r="F398">
        <v>1297.78</v>
      </c>
      <c r="G398" s="2" t="s">
        <v>62</v>
      </c>
      <c r="H398" s="2" t="s">
        <v>288</v>
      </c>
      <c r="I398">
        <v>23</v>
      </c>
      <c r="J398">
        <v>8</v>
      </c>
      <c r="K398">
        <v>1</v>
      </c>
      <c r="L398">
        <f t="shared" si="12"/>
        <v>3.0910424533583161</v>
      </c>
      <c r="M398">
        <f t="shared" si="13"/>
        <v>4.0773679380149837</v>
      </c>
    </row>
    <row r="399" spans="1:13" x14ac:dyDescent="0.2">
      <c r="A399" t="s">
        <v>281</v>
      </c>
      <c r="B399" t="s">
        <v>60</v>
      </c>
      <c r="C399" s="1" t="d">
        <v>2017-09-01</v>
      </c>
      <c r="D399">
        <v>25</v>
      </c>
      <c r="E399">
        <v>58.99</v>
      </c>
      <c r="F399">
        <v>1474.75</v>
      </c>
      <c r="G399" s="2" t="s">
        <v>62</v>
      </c>
      <c r="H399" s="2" t="s">
        <v>288</v>
      </c>
      <c r="I399">
        <v>21</v>
      </c>
      <c r="J399">
        <v>9</v>
      </c>
      <c r="K399">
        <v>1</v>
      </c>
      <c r="L399">
        <f t="shared" si="12"/>
        <v>3.2188758248682006</v>
      </c>
      <c r="M399">
        <f t="shared" si="13"/>
        <v>4.0773679380149837</v>
      </c>
    </row>
    <row r="400" spans="1:13" x14ac:dyDescent="0.2">
      <c r="A400" t="s">
        <v>281</v>
      </c>
      <c r="B400" t="s">
        <v>60</v>
      </c>
      <c r="C400" s="1" t="d">
        <v>2017-10-01</v>
      </c>
      <c r="D400">
        <v>19</v>
      </c>
      <c r="E400">
        <v>58.99</v>
      </c>
      <c r="F400">
        <v>1120.81</v>
      </c>
      <c r="G400" s="2" t="s">
        <v>62</v>
      </c>
      <c r="H400" s="2" t="s">
        <v>288</v>
      </c>
      <c r="I400">
        <v>22</v>
      </c>
      <c r="J400">
        <v>9</v>
      </c>
      <c r="K400">
        <v>2</v>
      </c>
      <c r="L400">
        <f t="shared" si="12"/>
        <v>2.9444389791664403</v>
      </c>
      <c r="M400">
        <f t="shared" si="13"/>
        <v>4.0773679380149837</v>
      </c>
    </row>
    <row r="401" spans="1:13" x14ac:dyDescent="0.2">
      <c r="A401" t="s">
        <v>281</v>
      </c>
      <c r="B401" t="s">
        <v>60</v>
      </c>
      <c r="C401" s="1" t="d">
        <v>2017-11-01</v>
      </c>
      <c r="D401">
        <v>24</v>
      </c>
      <c r="E401">
        <v>58.99</v>
      </c>
      <c r="F401">
        <v>1415.76</v>
      </c>
      <c r="G401" s="2" t="s">
        <v>62</v>
      </c>
      <c r="H401" s="2" t="s">
        <v>288</v>
      </c>
      <c r="I401">
        <v>22</v>
      </c>
      <c r="J401">
        <v>8</v>
      </c>
      <c r="K401">
        <v>4</v>
      </c>
      <c r="L401">
        <f t="shared" si="12"/>
        <v>3.1780538303479458</v>
      </c>
      <c r="M401">
        <f t="shared" si="13"/>
        <v>4.0773679380149837</v>
      </c>
    </row>
    <row r="402" spans="1:13" x14ac:dyDescent="0.2">
      <c r="A402" t="s">
        <v>281</v>
      </c>
      <c r="B402" t="s">
        <v>60</v>
      </c>
      <c r="C402" s="1" t="d">
        <v>2017-12-01</v>
      </c>
      <c r="D402">
        <v>9</v>
      </c>
      <c r="E402">
        <v>58.99</v>
      </c>
      <c r="F402">
        <v>530.91</v>
      </c>
      <c r="G402" s="2" t="s">
        <v>62</v>
      </c>
      <c r="H402" s="2" t="s">
        <v>288</v>
      </c>
      <c r="I402">
        <v>21</v>
      </c>
      <c r="J402">
        <v>10</v>
      </c>
      <c r="K402">
        <v>1</v>
      </c>
      <c r="L402">
        <f t="shared" si="12"/>
        <v>2.1972245773362196</v>
      </c>
      <c r="M402">
        <f t="shared" si="13"/>
        <v>4.0773679380149837</v>
      </c>
    </row>
    <row r="403" spans="1:13" x14ac:dyDescent="0.2">
      <c r="A403" t="s">
        <v>281</v>
      </c>
      <c r="B403" t="s">
        <v>60</v>
      </c>
      <c r="C403" s="1" t="d">
        <v>2018-01-01</v>
      </c>
      <c r="D403">
        <v>6</v>
      </c>
      <c r="E403">
        <v>58.99</v>
      </c>
      <c r="F403">
        <v>353.94</v>
      </c>
      <c r="G403" s="2" t="s">
        <v>62</v>
      </c>
      <c r="H403" s="2" t="s">
        <v>288</v>
      </c>
      <c r="I403">
        <v>23</v>
      </c>
      <c r="J403">
        <v>8</v>
      </c>
      <c r="K403">
        <v>2</v>
      </c>
      <c r="L403">
        <f t="shared" si="12"/>
        <v>1.791759469228055</v>
      </c>
      <c r="M403">
        <f t="shared" si="13"/>
        <v>4.0773679380149837</v>
      </c>
    </row>
    <row r="404" spans="1:13" x14ac:dyDescent="0.2">
      <c r="A404" t="s">
        <v>281</v>
      </c>
      <c r="B404" t="s">
        <v>60</v>
      </c>
      <c r="C404" s="1" t="d">
        <v>2018-02-01</v>
      </c>
      <c r="D404">
        <v>14</v>
      </c>
      <c r="E404">
        <v>58.99</v>
      </c>
      <c r="F404">
        <v>825.86</v>
      </c>
      <c r="G404" s="2" t="s">
        <v>62</v>
      </c>
      <c r="H404" s="2" t="s">
        <v>288</v>
      </c>
      <c r="I404">
        <v>20</v>
      </c>
      <c r="J404">
        <v>8</v>
      </c>
      <c r="K404">
        <v>2</v>
      </c>
      <c r="L404">
        <f t="shared" si="12"/>
        <v>2.6390573296152584</v>
      </c>
      <c r="M404">
        <f t="shared" si="13"/>
        <v>4.0773679380149837</v>
      </c>
    </row>
    <row r="405" spans="1:13" x14ac:dyDescent="0.2">
      <c r="A405" t="s">
        <v>281</v>
      </c>
      <c r="B405" t="s">
        <v>60</v>
      </c>
      <c r="C405" s="1" t="d">
        <v>2018-03-01</v>
      </c>
      <c r="D405">
        <v>10</v>
      </c>
      <c r="E405">
        <v>58.99</v>
      </c>
      <c r="F405">
        <v>589.9</v>
      </c>
      <c r="G405" s="2" t="s">
        <v>62</v>
      </c>
      <c r="H405" s="2" t="s">
        <v>288</v>
      </c>
      <c r="I405">
        <v>22</v>
      </c>
      <c r="J405">
        <v>9</v>
      </c>
      <c r="K405">
        <v>1</v>
      </c>
      <c r="L405">
        <f t="shared" si="12"/>
        <v>2.3025850929940459</v>
      </c>
      <c r="M405">
        <f t="shared" si="13"/>
        <v>4.0773679380149837</v>
      </c>
    </row>
    <row r="406" spans="1:13" x14ac:dyDescent="0.2">
      <c r="A406" t="s">
        <v>281</v>
      </c>
      <c r="B406" t="s">
        <v>60</v>
      </c>
      <c r="C406" s="1" t="d">
        <v>2018-04-01</v>
      </c>
      <c r="D406">
        <v>11</v>
      </c>
      <c r="E406">
        <v>58.99</v>
      </c>
      <c r="F406">
        <v>648.89</v>
      </c>
      <c r="G406">
        <v>4</v>
      </c>
      <c r="H406">
        <v>14.7475</v>
      </c>
      <c r="I406">
        <v>21</v>
      </c>
      <c r="J406">
        <v>9</v>
      </c>
      <c r="K406">
        <v>1</v>
      </c>
      <c r="L406">
        <f t="shared" si="12"/>
        <v>2.3978952727983707</v>
      </c>
      <c r="M406">
        <f t="shared" si="13"/>
        <v>4.0773679380149837</v>
      </c>
    </row>
    <row r="407" spans="1:13" x14ac:dyDescent="0.2">
      <c r="A407" t="s">
        <v>281</v>
      </c>
      <c r="B407" t="s">
        <v>60</v>
      </c>
      <c r="C407" s="1" t="d">
        <v>2018-05-01</v>
      </c>
      <c r="D407">
        <v>4</v>
      </c>
      <c r="E407">
        <v>58.99</v>
      </c>
      <c r="F407">
        <v>235.96</v>
      </c>
      <c r="G407" s="2" t="s">
        <v>62</v>
      </c>
      <c r="H407" s="2" t="s">
        <v>288</v>
      </c>
      <c r="I407">
        <v>23</v>
      </c>
      <c r="J407">
        <v>8</v>
      </c>
      <c r="K407">
        <v>3</v>
      </c>
      <c r="L407">
        <f t="shared" si="12"/>
        <v>1.3862943611198906</v>
      </c>
      <c r="M407">
        <f t="shared" si="13"/>
        <v>4.0773679380149837</v>
      </c>
    </row>
    <row r="408" spans="1:13" x14ac:dyDescent="0.2">
      <c r="A408" t="s">
        <v>281</v>
      </c>
      <c r="B408" t="s">
        <v>60</v>
      </c>
      <c r="C408" s="1" t="d">
        <v>2018-06-01</v>
      </c>
      <c r="D408">
        <v>6</v>
      </c>
      <c r="E408">
        <v>58.99</v>
      </c>
      <c r="F408">
        <v>353.94</v>
      </c>
      <c r="G408" s="2" t="s">
        <v>62</v>
      </c>
      <c r="H408" s="2" t="s">
        <v>288</v>
      </c>
      <c r="I408">
        <v>21</v>
      </c>
      <c r="J408">
        <v>9</v>
      </c>
      <c r="K408">
        <v>0</v>
      </c>
      <c r="L408">
        <f t="shared" si="12"/>
        <v>1.791759469228055</v>
      </c>
      <c r="M408">
        <f t="shared" si="13"/>
        <v>4.0773679380149837</v>
      </c>
    </row>
    <row r="409" spans="1:13" x14ac:dyDescent="0.2">
      <c r="A409" t="s">
        <v>281</v>
      </c>
      <c r="B409" t="s">
        <v>60</v>
      </c>
      <c r="C409" s="1" t="d">
        <v>2018-07-01</v>
      </c>
      <c r="D409">
        <v>2</v>
      </c>
      <c r="E409">
        <v>58.99</v>
      </c>
      <c r="F409">
        <v>117.98</v>
      </c>
      <c r="G409" s="2" t="s">
        <v>62</v>
      </c>
      <c r="H409" s="2" t="s">
        <v>288</v>
      </c>
      <c r="I409">
        <v>22</v>
      </c>
      <c r="J409">
        <v>9</v>
      </c>
      <c r="K409">
        <v>1</v>
      </c>
      <c r="L409">
        <f t="shared" si="12"/>
        <v>0.69314718055994529</v>
      </c>
      <c r="M409">
        <f t="shared" si="13"/>
        <v>4.0773679380149837</v>
      </c>
    </row>
    <row r="410" spans="1:13" x14ac:dyDescent="0.2">
      <c r="A410" t="s">
        <v>281</v>
      </c>
      <c r="B410" t="s">
        <v>60</v>
      </c>
      <c r="C410" s="1" t="d">
        <v>2018-08-01</v>
      </c>
      <c r="D410">
        <v>3</v>
      </c>
      <c r="E410">
        <v>58.99</v>
      </c>
      <c r="F410">
        <v>176.97</v>
      </c>
      <c r="G410" s="2" t="s">
        <v>62</v>
      </c>
      <c r="H410" s="2" t="s">
        <v>288</v>
      </c>
      <c r="I410">
        <v>23</v>
      </c>
      <c r="J410">
        <v>8</v>
      </c>
      <c r="K410">
        <v>1</v>
      </c>
      <c r="L410">
        <f t="shared" si="12"/>
        <v>1.0986122886681098</v>
      </c>
      <c r="M410">
        <f t="shared" si="13"/>
        <v>4.0773679380149837</v>
      </c>
    </row>
    <row r="411" spans="1:13" x14ac:dyDescent="0.2">
      <c r="A411" t="s">
        <v>289</v>
      </c>
      <c r="B411" t="s">
        <v>12</v>
      </c>
      <c r="C411" s="1" t="d">
        <v>2017-10-01</v>
      </c>
      <c r="D411">
        <v>8</v>
      </c>
      <c r="E411">
        <v>99</v>
      </c>
      <c r="F411">
        <v>792</v>
      </c>
      <c r="G411" s="2" t="s">
        <v>290</v>
      </c>
      <c r="H411" s="2" t="s">
        <v>291</v>
      </c>
      <c r="I411">
        <v>22</v>
      </c>
      <c r="J411">
        <v>9</v>
      </c>
      <c r="K411">
        <v>2</v>
      </c>
      <c r="L411">
        <f t="shared" si="12"/>
        <v>2.0794415416798357</v>
      </c>
      <c r="M411">
        <f t="shared" si="13"/>
        <v>4.5951198501345898</v>
      </c>
    </row>
    <row r="412" spans="1:13" x14ac:dyDescent="0.2">
      <c r="A412" t="s">
        <v>289</v>
      </c>
      <c r="B412" t="s">
        <v>12</v>
      </c>
      <c r="C412" s="1" t="d">
        <v>2017-11-01</v>
      </c>
      <c r="D412">
        <v>22</v>
      </c>
      <c r="E412">
        <v>99</v>
      </c>
      <c r="F412">
        <v>2178</v>
      </c>
      <c r="G412" s="2" t="s">
        <v>290</v>
      </c>
      <c r="H412" s="2" t="s">
        <v>291</v>
      </c>
      <c r="I412">
        <v>22</v>
      </c>
      <c r="J412">
        <v>8</v>
      </c>
      <c r="K412">
        <v>4</v>
      </c>
      <c r="L412">
        <f t="shared" si="12"/>
        <v>3.0910424533583161</v>
      </c>
      <c r="M412">
        <f t="shared" si="13"/>
        <v>4.5951198501345898</v>
      </c>
    </row>
    <row r="413" spans="1:13" x14ac:dyDescent="0.2">
      <c r="A413" t="s">
        <v>289</v>
      </c>
      <c r="B413" t="s">
        <v>12</v>
      </c>
      <c r="C413" s="1" t="d">
        <v>2017-12-01</v>
      </c>
      <c r="D413">
        <v>7</v>
      </c>
      <c r="E413">
        <v>99</v>
      </c>
      <c r="F413">
        <v>693</v>
      </c>
      <c r="G413" s="2" t="s">
        <v>290</v>
      </c>
      <c r="H413" s="2" t="s">
        <v>291</v>
      </c>
      <c r="I413">
        <v>21</v>
      </c>
      <c r="J413">
        <v>10</v>
      </c>
      <c r="K413">
        <v>1</v>
      </c>
      <c r="L413">
        <f t="shared" si="12"/>
        <v>1.9459101490553132</v>
      </c>
      <c r="M413">
        <f t="shared" si="13"/>
        <v>4.5951198501345898</v>
      </c>
    </row>
    <row r="414" spans="1:13" x14ac:dyDescent="0.2">
      <c r="A414" t="s">
        <v>289</v>
      </c>
      <c r="B414" t="s">
        <v>12</v>
      </c>
      <c r="C414" s="1" t="d">
        <v>2018-01-01</v>
      </c>
      <c r="D414">
        <v>11</v>
      </c>
      <c r="E414">
        <v>98.3</v>
      </c>
      <c r="F414">
        <v>1081.3</v>
      </c>
      <c r="G414" s="2" t="s">
        <v>290</v>
      </c>
      <c r="H414" s="2" t="s">
        <v>292</v>
      </c>
      <c r="I414">
        <v>23</v>
      </c>
      <c r="J414">
        <v>8</v>
      </c>
      <c r="K414">
        <v>2</v>
      </c>
      <c r="L414">
        <f t="shared" si="12"/>
        <v>2.3978952727983707</v>
      </c>
      <c r="M414">
        <f t="shared" si="13"/>
        <v>4.5880240271531205</v>
      </c>
    </row>
    <row r="415" spans="1:13" x14ac:dyDescent="0.2">
      <c r="A415" t="s">
        <v>289</v>
      </c>
      <c r="B415" t="s">
        <v>12</v>
      </c>
      <c r="C415" s="1" t="d">
        <v>2018-02-01</v>
      </c>
      <c r="D415">
        <v>13</v>
      </c>
      <c r="E415">
        <v>92</v>
      </c>
      <c r="F415">
        <v>1196</v>
      </c>
      <c r="G415" s="2" t="s">
        <v>290</v>
      </c>
      <c r="H415" s="2" t="s">
        <v>293</v>
      </c>
      <c r="I415">
        <v>20</v>
      </c>
      <c r="J415">
        <v>8</v>
      </c>
      <c r="K415">
        <v>2</v>
      </c>
      <c r="L415">
        <f t="shared" si="12"/>
        <v>2.5649493574615367</v>
      </c>
      <c r="M415">
        <f t="shared" si="13"/>
        <v>4.5217885770490405</v>
      </c>
    </row>
    <row r="416" spans="1:13" x14ac:dyDescent="0.2">
      <c r="A416" t="s">
        <v>289</v>
      </c>
      <c r="B416" t="s">
        <v>12</v>
      </c>
      <c r="C416" s="1" t="d">
        <v>2018-03-01</v>
      </c>
      <c r="D416">
        <v>3</v>
      </c>
      <c r="E416">
        <v>92</v>
      </c>
      <c r="F416">
        <v>276</v>
      </c>
      <c r="G416" s="2" t="s">
        <v>290</v>
      </c>
      <c r="H416" s="2" t="s">
        <v>293</v>
      </c>
      <c r="I416">
        <v>22</v>
      </c>
      <c r="J416">
        <v>9</v>
      </c>
      <c r="K416">
        <v>1</v>
      </c>
      <c r="L416">
        <f t="shared" si="12"/>
        <v>1.0986122886681098</v>
      </c>
      <c r="M416">
        <f t="shared" si="13"/>
        <v>4.5217885770490405</v>
      </c>
    </row>
    <row r="417" spans="1:13" x14ac:dyDescent="0.2">
      <c r="A417" t="s">
        <v>289</v>
      </c>
      <c r="B417" t="s">
        <v>12</v>
      </c>
      <c r="C417" s="1" t="d">
        <v>2018-04-01</v>
      </c>
      <c r="D417">
        <v>9</v>
      </c>
      <c r="E417">
        <v>90.875</v>
      </c>
      <c r="F417">
        <v>817.875</v>
      </c>
      <c r="G417" s="2" t="s">
        <v>290</v>
      </c>
      <c r="H417" s="2" t="s">
        <v>294</v>
      </c>
      <c r="I417">
        <v>21</v>
      </c>
      <c r="J417">
        <v>9</v>
      </c>
      <c r="K417">
        <v>1</v>
      </c>
      <c r="L417">
        <f t="shared" si="12"/>
        <v>2.1972245773362196</v>
      </c>
      <c r="M417">
        <f t="shared" si="13"/>
        <v>4.509484935853683</v>
      </c>
    </row>
    <row r="418" spans="1:13" x14ac:dyDescent="0.2">
      <c r="A418" t="s">
        <v>289</v>
      </c>
      <c r="B418" t="s">
        <v>12</v>
      </c>
      <c r="C418" s="1" t="d">
        <v>2018-05-01</v>
      </c>
      <c r="D418">
        <v>14</v>
      </c>
      <c r="E418">
        <v>88.24</v>
      </c>
      <c r="F418">
        <v>1235.3599999999999</v>
      </c>
      <c r="G418" s="2" t="s">
        <v>290</v>
      </c>
      <c r="H418" s="2" t="s">
        <v>295</v>
      </c>
      <c r="I418">
        <v>23</v>
      </c>
      <c r="J418">
        <v>8</v>
      </c>
      <c r="K418">
        <v>3</v>
      </c>
      <c r="L418">
        <f t="shared" si="12"/>
        <v>2.6390573296152584</v>
      </c>
      <c r="M418">
        <f t="shared" si="13"/>
        <v>4.4800603749452472</v>
      </c>
    </row>
    <row r="419" spans="1:13" x14ac:dyDescent="0.2">
      <c r="A419" t="s">
        <v>289</v>
      </c>
      <c r="B419" t="s">
        <v>12</v>
      </c>
      <c r="C419" s="1" t="d">
        <v>2018-06-01</v>
      </c>
      <c r="D419">
        <v>14</v>
      </c>
      <c r="E419">
        <v>84.9</v>
      </c>
      <c r="F419" s="2" t="s">
        <v>296</v>
      </c>
      <c r="G419" s="2" t="s">
        <v>290</v>
      </c>
      <c r="H419" s="2" t="s">
        <v>297</v>
      </c>
      <c r="I419">
        <v>21</v>
      </c>
      <c r="J419">
        <v>9</v>
      </c>
      <c r="K419">
        <v>0</v>
      </c>
      <c r="L419">
        <f t="shared" si="12"/>
        <v>2.6390573296152584</v>
      </c>
      <c r="M419">
        <f t="shared" si="13"/>
        <v>4.4414740933173018</v>
      </c>
    </row>
    <row r="420" spans="1:13" x14ac:dyDescent="0.2">
      <c r="A420" t="s">
        <v>289</v>
      </c>
      <c r="B420" t="s">
        <v>12</v>
      </c>
      <c r="C420" s="1" t="d">
        <v>2018-07-01</v>
      </c>
      <c r="D420">
        <v>9</v>
      </c>
      <c r="E420">
        <v>84.9</v>
      </c>
      <c r="F420">
        <v>764.1</v>
      </c>
      <c r="G420" s="2" t="s">
        <v>290</v>
      </c>
      <c r="H420" s="2" t="s">
        <v>297</v>
      </c>
      <c r="I420">
        <v>22</v>
      </c>
      <c r="J420">
        <v>9</v>
      </c>
      <c r="K420">
        <v>1</v>
      </c>
      <c r="L420">
        <f t="shared" si="12"/>
        <v>2.1972245773362196</v>
      </c>
      <c r="M420">
        <f t="shared" si="13"/>
        <v>4.4414740933173018</v>
      </c>
    </row>
    <row r="421" spans="1:13" x14ac:dyDescent="0.2">
      <c r="A421" t="s">
        <v>289</v>
      </c>
      <c r="B421" t="s">
        <v>12</v>
      </c>
      <c r="C421" s="1" t="d">
        <v>2018-08-01</v>
      </c>
      <c r="D421">
        <v>1</v>
      </c>
      <c r="E421">
        <v>84.9</v>
      </c>
      <c r="F421">
        <v>84.9</v>
      </c>
      <c r="G421" s="2" t="s">
        <v>290</v>
      </c>
      <c r="H421" s="2" t="s">
        <v>297</v>
      </c>
      <c r="I421">
        <v>23</v>
      </c>
      <c r="J421">
        <v>8</v>
      </c>
      <c r="K421">
        <v>1</v>
      </c>
      <c r="L421">
        <f t="shared" si="12"/>
        <v>0</v>
      </c>
      <c r="M421">
        <f t="shared" si="13"/>
        <v>4.4414740933173018</v>
      </c>
    </row>
    <row r="422" spans="1:13" x14ac:dyDescent="0.2">
      <c r="A422" t="s">
        <v>298</v>
      </c>
      <c r="B422" t="s">
        <v>25</v>
      </c>
      <c r="C422" s="1" t="d">
        <v>2017-02-01</v>
      </c>
      <c r="D422">
        <v>1</v>
      </c>
      <c r="E422">
        <v>99.99</v>
      </c>
      <c r="F422">
        <v>99.99</v>
      </c>
      <c r="G422" s="2" t="s">
        <v>27</v>
      </c>
      <c r="H422" s="2" t="s">
        <v>299</v>
      </c>
      <c r="I422">
        <v>20</v>
      </c>
      <c r="J422">
        <v>8</v>
      </c>
      <c r="K422">
        <v>2</v>
      </c>
      <c r="L422">
        <f t="shared" si="12"/>
        <v>0</v>
      </c>
      <c r="M422">
        <f t="shared" si="13"/>
        <v>4.6050701809877577</v>
      </c>
    </row>
    <row r="423" spans="1:13" x14ac:dyDescent="0.2">
      <c r="A423" t="s">
        <v>298</v>
      </c>
      <c r="B423" t="s">
        <v>25</v>
      </c>
      <c r="C423" s="1" t="d">
        <v>2017-03-01</v>
      </c>
      <c r="D423">
        <v>11</v>
      </c>
      <c r="E423">
        <v>99.99</v>
      </c>
      <c r="F423" s="2" t="s">
        <v>92</v>
      </c>
      <c r="G423" s="2" t="s">
        <v>27</v>
      </c>
      <c r="H423" s="2" t="s">
        <v>299</v>
      </c>
      <c r="I423">
        <v>23</v>
      </c>
      <c r="J423">
        <v>8</v>
      </c>
      <c r="K423">
        <v>1</v>
      </c>
      <c r="L423">
        <f t="shared" si="12"/>
        <v>2.3978952727983707</v>
      </c>
      <c r="M423">
        <f t="shared" si="13"/>
        <v>4.6050701809877577</v>
      </c>
    </row>
    <row r="424" spans="1:13" x14ac:dyDescent="0.2">
      <c r="A424" t="s">
        <v>298</v>
      </c>
      <c r="B424" t="s">
        <v>25</v>
      </c>
      <c r="C424" s="1" t="d">
        <v>2017-04-01</v>
      </c>
      <c r="D424">
        <v>8</v>
      </c>
      <c r="E424">
        <v>96.656666670000007</v>
      </c>
      <c r="F424">
        <v>773.25333336000006</v>
      </c>
      <c r="G424" s="2" t="s">
        <v>27</v>
      </c>
      <c r="H424" s="2" t="s">
        <v>300</v>
      </c>
      <c r="I424">
        <v>20</v>
      </c>
      <c r="J424">
        <v>10</v>
      </c>
      <c r="K424">
        <v>2</v>
      </c>
      <c r="L424">
        <f t="shared" si="12"/>
        <v>2.0794415416798357</v>
      </c>
      <c r="M424">
        <f t="shared" si="13"/>
        <v>4.5711651807198921</v>
      </c>
    </row>
    <row r="425" spans="1:13" x14ac:dyDescent="0.2">
      <c r="A425" t="s">
        <v>298</v>
      </c>
      <c r="B425" t="s">
        <v>25</v>
      </c>
      <c r="C425" s="1" t="d">
        <v>2017-05-01</v>
      </c>
      <c r="D425">
        <v>2</v>
      </c>
      <c r="E425">
        <v>109.99</v>
      </c>
      <c r="F425">
        <v>219.98</v>
      </c>
      <c r="G425" s="2" t="s">
        <v>13</v>
      </c>
      <c r="H425" s="2" t="s">
        <v>301</v>
      </c>
      <c r="I425">
        <v>23</v>
      </c>
      <c r="J425">
        <v>8</v>
      </c>
      <c r="K425">
        <v>1</v>
      </c>
      <c r="L425">
        <f t="shared" si="12"/>
        <v>0.69314718055994529</v>
      </c>
      <c r="M425">
        <f t="shared" si="13"/>
        <v>4.7003894525690253</v>
      </c>
    </row>
    <row r="426" spans="1:13" x14ac:dyDescent="0.2">
      <c r="A426" t="s">
        <v>298</v>
      </c>
      <c r="B426" t="s">
        <v>25</v>
      </c>
      <c r="C426" s="1" t="d">
        <v>2017-06-01</v>
      </c>
      <c r="D426">
        <v>2</v>
      </c>
      <c r="E426">
        <v>119.99</v>
      </c>
      <c r="F426">
        <v>239.98</v>
      </c>
      <c r="G426" s="2" t="s">
        <v>13</v>
      </c>
      <c r="H426" s="2" t="s">
        <v>302</v>
      </c>
      <c r="I426">
        <v>22</v>
      </c>
      <c r="J426">
        <v>8</v>
      </c>
      <c r="K426">
        <v>1</v>
      </c>
      <c r="L426">
        <f t="shared" si="12"/>
        <v>0.69314718055994529</v>
      </c>
      <c r="M426">
        <f t="shared" si="13"/>
        <v>4.7874084059762971</v>
      </c>
    </row>
    <row r="427" spans="1:13" x14ac:dyDescent="0.2">
      <c r="A427" t="s">
        <v>298</v>
      </c>
      <c r="B427" t="s">
        <v>25</v>
      </c>
      <c r="C427" s="1" t="d">
        <v>2017-07-01</v>
      </c>
      <c r="D427">
        <v>2</v>
      </c>
      <c r="E427">
        <v>120</v>
      </c>
      <c r="F427">
        <v>240</v>
      </c>
      <c r="G427" s="2" t="s">
        <v>13</v>
      </c>
      <c r="H427" s="2" t="s">
        <v>303</v>
      </c>
      <c r="I427">
        <v>21</v>
      </c>
      <c r="J427">
        <v>10</v>
      </c>
      <c r="K427">
        <v>1</v>
      </c>
      <c r="L427">
        <f t="shared" si="12"/>
        <v>0.69314718055994529</v>
      </c>
      <c r="M427">
        <f t="shared" si="13"/>
        <v>4.7874917427820458</v>
      </c>
    </row>
    <row r="428" spans="1:13" x14ac:dyDescent="0.2">
      <c r="A428" t="s">
        <v>298</v>
      </c>
      <c r="B428" t="s">
        <v>25</v>
      </c>
      <c r="C428" s="1" t="d">
        <v>2017-09-01</v>
      </c>
      <c r="D428">
        <v>4</v>
      </c>
      <c r="E428">
        <v>104.25</v>
      </c>
      <c r="F428">
        <v>417</v>
      </c>
      <c r="G428" s="2" t="s">
        <v>13</v>
      </c>
      <c r="H428" s="2" t="s">
        <v>304</v>
      </c>
      <c r="I428">
        <v>21</v>
      </c>
      <c r="J428">
        <v>9</v>
      </c>
      <c r="K428">
        <v>1</v>
      </c>
      <c r="L428">
        <f t="shared" si="12"/>
        <v>1.3862943611198906</v>
      </c>
      <c r="M428">
        <f t="shared" si="13"/>
        <v>4.6467918606789107</v>
      </c>
    </row>
    <row r="429" spans="1:13" x14ac:dyDescent="0.2">
      <c r="A429" t="s">
        <v>298</v>
      </c>
      <c r="B429" t="s">
        <v>25</v>
      </c>
      <c r="C429" s="1" t="d">
        <v>2017-10-01</v>
      </c>
      <c r="D429">
        <v>12</v>
      </c>
      <c r="E429">
        <v>92.593999999999994</v>
      </c>
      <c r="F429">
        <v>1111.1279999999999</v>
      </c>
      <c r="G429" s="2" t="s">
        <v>13</v>
      </c>
      <c r="H429" s="2" t="s">
        <v>305</v>
      </c>
      <c r="I429">
        <v>22</v>
      </c>
      <c r="J429">
        <v>9</v>
      </c>
      <c r="K429">
        <v>2</v>
      </c>
      <c r="L429">
        <f t="shared" si="12"/>
        <v>2.4849066497880004</v>
      </c>
      <c r="M429">
        <f t="shared" si="13"/>
        <v>4.5282243447364445</v>
      </c>
    </row>
    <row r="430" spans="1:13" x14ac:dyDescent="0.2">
      <c r="A430" t="s">
        <v>298</v>
      </c>
      <c r="B430" t="s">
        <v>25</v>
      </c>
      <c r="C430" s="1" t="d">
        <v>2017-11-01</v>
      </c>
      <c r="D430">
        <v>21</v>
      </c>
      <c r="E430">
        <v>89.99</v>
      </c>
      <c r="F430">
        <v>1889.79</v>
      </c>
      <c r="G430" s="2" t="s">
        <v>13</v>
      </c>
      <c r="H430" s="2" t="s">
        <v>306</v>
      </c>
      <c r="I430">
        <v>22</v>
      </c>
      <c r="J430">
        <v>8</v>
      </c>
      <c r="K430">
        <v>4</v>
      </c>
      <c r="L430">
        <f t="shared" si="12"/>
        <v>3.044522437723423</v>
      </c>
      <c r="M430">
        <f t="shared" si="13"/>
        <v>4.4996985530458575</v>
      </c>
    </row>
    <row r="431" spans="1:13" x14ac:dyDescent="0.2">
      <c r="A431" t="s">
        <v>298</v>
      </c>
      <c r="B431" t="s">
        <v>25</v>
      </c>
      <c r="C431" s="1" t="d">
        <v>2017-12-01</v>
      </c>
      <c r="D431">
        <v>14</v>
      </c>
      <c r="E431">
        <v>89.99</v>
      </c>
      <c r="F431">
        <v>1259.8599999999999</v>
      </c>
      <c r="G431" s="2" t="s">
        <v>13</v>
      </c>
      <c r="H431" s="2" t="s">
        <v>306</v>
      </c>
      <c r="I431">
        <v>21</v>
      </c>
      <c r="J431">
        <v>10</v>
      </c>
      <c r="K431">
        <v>1</v>
      </c>
      <c r="L431">
        <f t="shared" si="12"/>
        <v>2.6390573296152584</v>
      </c>
      <c r="M431">
        <f t="shared" si="13"/>
        <v>4.4996985530458575</v>
      </c>
    </row>
    <row r="432" spans="1:13" x14ac:dyDescent="0.2">
      <c r="A432" t="s">
        <v>298</v>
      </c>
      <c r="B432" t="s">
        <v>25</v>
      </c>
      <c r="C432" s="1" t="d">
        <v>2018-01-01</v>
      </c>
      <c r="D432">
        <v>12</v>
      </c>
      <c r="E432">
        <v>123.3316667</v>
      </c>
      <c r="F432" s="2" t="s">
        <v>307</v>
      </c>
      <c r="G432" s="2" t="s">
        <v>13</v>
      </c>
      <c r="H432" s="2" t="s">
        <v>308</v>
      </c>
      <c r="I432">
        <v>23</v>
      </c>
      <c r="J432">
        <v>8</v>
      </c>
      <c r="K432">
        <v>2</v>
      </c>
      <c r="L432">
        <f t="shared" si="12"/>
        <v>2.4849066497880004</v>
      </c>
      <c r="M432">
        <f t="shared" si="13"/>
        <v>4.8148772036356124</v>
      </c>
    </row>
    <row r="433" spans="1:13" x14ac:dyDescent="0.2">
      <c r="A433" t="s">
        <v>298</v>
      </c>
      <c r="B433" t="s">
        <v>25</v>
      </c>
      <c r="C433" s="1" t="d">
        <v>2018-02-01</v>
      </c>
      <c r="D433">
        <v>14</v>
      </c>
      <c r="E433">
        <v>120</v>
      </c>
      <c r="F433">
        <v>1680</v>
      </c>
      <c r="G433" s="2" t="s">
        <v>13</v>
      </c>
      <c r="H433" s="2" t="s">
        <v>303</v>
      </c>
      <c r="I433">
        <v>20</v>
      </c>
      <c r="J433">
        <v>8</v>
      </c>
      <c r="K433">
        <v>2</v>
      </c>
      <c r="L433">
        <f t="shared" si="12"/>
        <v>2.6390573296152584</v>
      </c>
      <c r="M433">
        <f t="shared" si="13"/>
        <v>4.7874917427820458</v>
      </c>
    </row>
    <row r="434" spans="1:13" x14ac:dyDescent="0.2">
      <c r="A434" t="s">
        <v>298</v>
      </c>
      <c r="B434" t="s">
        <v>25</v>
      </c>
      <c r="C434" s="1" t="d">
        <v>2018-03-01</v>
      </c>
      <c r="D434">
        <v>6</v>
      </c>
      <c r="E434">
        <v>113.33333330000001</v>
      </c>
      <c r="F434" s="2" t="s">
        <v>309</v>
      </c>
      <c r="G434" s="2" t="s">
        <v>13</v>
      </c>
      <c r="H434" s="2" t="s">
        <v>310</v>
      </c>
      <c r="I434">
        <v>22</v>
      </c>
      <c r="J434">
        <v>9</v>
      </c>
      <c r="K434">
        <v>1</v>
      </c>
      <c r="L434">
        <f t="shared" si="12"/>
        <v>1.791759469228055</v>
      </c>
      <c r="M434">
        <f t="shared" si="13"/>
        <v>4.7303333286479798</v>
      </c>
    </row>
    <row r="435" spans="1:13" x14ac:dyDescent="0.2">
      <c r="A435" t="s">
        <v>298</v>
      </c>
      <c r="B435" t="s">
        <v>25</v>
      </c>
      <c r="C435" s="1" t="d">
        <v>2018-04-01</v>
      </c>
      <c r="D435">
        <v>7</v>
      </c>
      <c r="E435">
        <v>110</v>
      </c>
      <c r="F435">
        <v>770</v>
      </c>
      <c r="G435" s="2" t="s">
        <v>13</v>
      </c>
      <c r="H435" s="2" t="s">
        <v>311</v>
      </c>
      <c r="I435">
        <v>21</v>
      </c>
      <c r="J435">
        <v>9</v>
      </c>
      <c r="K435">
        <v>1</v>
      </c>
      <c r="L435">
        <f t="shared" si="12"/>
        <v>1.9459101490553132</v>
      </c>
      <c r="M435">
        <f t="shared" si="13"/>
        <v>4.7004803657924166</v>
      </c>
    </row>
    <row r="436" spans="1:13" x14ac:dyDescent="0.2">
      <c r="A436" t="s">
        <v>298</v>
      </c>
      <c r="B436" t="s">
        <v>25</v>
      </c>
      <c r="C436" s="1" t="d">
        <v>2018-05-01</v>
      </c>
      <c r="D436">
        <v>8</v>
      </c>
      <c r="E436">
        <v>110</v>
      </c>
      <c r="F436">
        <v>880</v>
      </c>
      <c r="G436" s="2" t="s">
        <v>13</v>
      </c>
      <c r="H436" s="2" t="s">
        <v>311</v>
      </c>
      <c r="I436">
        <v>23</v>
      </c>
      <c r="J436">
        <v>8</v>
      </c>
      <c r="K436">
        <v>3</v>
      </c>
      <c r="L436">
        <f t="shared" si="12"/>
        <v>2.0794415416798357</v>
      </c>
      <c r="M436">
        <f t="shared" si="13"/>
        <v>4.7004803657924166</v>
      </c>
    </row>
    <row r="437" spans="1:13" x14ac:dyDescent="0.2">
      <c r="A437" t="s">
        <v>298</v>
      </c>
      <c r="B437" t="s">
        <v>25</v>
      </c>
      <c r="C437" s="1" t="d">
        <v>2018-06-01</v>
      </c>
      <c r="D437">
        <v>10</v>
      </c>
      <c r="E437">
        <v>96.656666670000007</v>
      </c>
      <c r="F437">
        <v>966.56666670000004</v>
      </c>
      <c r="G437" s="2" t="s">
        <v>13</v>
      </c>
      <c r="H437" s="2" t="s">
        <v>312</v>
      </c>
      <c r="I437">
        <v>21</v>
      </c>
      <c r="J437">
        <v>9</v>
      </c>
      <c r="K437">
        <v>0</v>
      </c>
      <c r="L437">
        <f t="shared" si="12"/>
        <v>2.3025850929940459</v>
      </c>
      <c r="M437">
        <f t="shared" si="13"/>
        <v>4.5711651807198921</v>
      </c>
    </row>
    <row r="438" spans="1:13" x14ac:dyDescent="0.2">
      <c r="A438" t="s">
        <v>298</v>
      </c>
      <c r="B438" t="s">
        <v>25</v>
      </c>
      <c r="C438" s="1" t="d">
        <v>2018-07-01</v>
      </c>
      <c r="D438">
        <v>5</v>
      </c>
      <c r="E438">
        <v>99.99</v>
      </c>
      <c r="F438">
        <v>499.95</v>
      </c>
      <c r="G438" s="2" t="s">
        <v>13</v>
      </c>
      <c r="H438" s="2" t="s">
        <v>313</v>
      </c>
      <c r="I438">
        <v>22</v>
      </c>
      <c r="J438">
        <v>9</v>
      </c>
      <c r="K438">
        <v>1</v>
      </c>
      <c r="L438">
        <f t="shared" si="12"/>
        <v>1.6094379124341003</v>
      </c>
      <c r="M438">
        <f t="shared" si="13"/>
        <v>4.6050701809877577</v>
      </c>
    </row>
    <row r="439" spans="1:13" x14ac:dyDescent="0.2">
      <c r="A439" t="s">
        <v>298</v>
      </c>
      <c r="B439" t="s">
        <v>25</v>
      </c>
      <c r="C439" s="1" t="d">
        <v>2018-08-01</v>
      </c>
      <c r="D439">
        <v>2</v>
      </c>
      <c r="E439">
        <v>99.99</v>
      </c>
      <c r="F439">
        <v>199.98</v>
      </c>
      <c r="G439" s="2" t="s">
        <v>13</v>
      </c>
      <c r="H439" s="2" t="s">
        <v>313</v>
      </c>
      <c r="I439">
        <v>23</v>
      </c>
      <c r="J439">
        <v>8</v>
      </c>
      <c r="K439">
        <v>1</v>
      </c>
      <c r="L439">
        <f t="shared" si="12"/>
        <v>0.69314718055994529</v>
      </c>
      <c r="M439">
        <f t="shared" si="13"/>
        <v>4.6050701809877577</v>
      </c>
    </row>
    <row r="440" spans="1:13" x14ac:dyDescent="0.2">
      <c r="A440" t="s">
        <v>314</v>
      </c>
      <c r="B440" t="s">
        <v>12</v>
      </c>
      <c r="C440" s="1" t="d">
        <v>2017-02-01</v>
      </c>
      <c r="D440">
        <v>2</v>
      </c>
      <c r="E440">
        <v>89.9</v>
      </c>
      <c r="F440">
        <v>179.8</v>
      </c>
      <c r="G440" s="2" t="s">
        <v>240</v>
      </c>
      <c r="H440" s="2" t="s">
        <v>315</v>
      </c>
      <c r="I440">
        <v>20</v>
      </c>
      <c r="J440">
        <v>8</v>
      </c>
      <c r="K440">
        <v>2</v>
      </c>
      <c r="L440">
        <f t="shared" si="12"/>
        <v>0.69314718055994529</v>
      </c>
      <c r="M440">
        <f t="shared" si="13"/>
        <v>4.498697941477575</v>
      </c>
    </row>
    <row r="441" spans="1:13" x14ac:dyDescent="0.2">
      <c r="A441" t="s">
        <v>314</v>
      </c>
      <c r="B441" t="s">
        <v>12</v>
      </c>
      <c r="C441" s="1" t="d">
        <v>2017-03-01</v>
      </c>
      <c r="D441">
        <v>22</v>
      </c>
      <c r="E441">
        <v>89.9</v>
      </c>
      <c r="F441" s="2" t="s">
        <v>316</v>
      </c>
      <c r="G441" s="2" t="s">
        <v>240</v>
      </c>
      <c r="H441" s="2" t="s">
        <v>315</v>
      </c>
      <c r="I441">
        <v>23</v>
      </c>
      <c r="J441">
        <v>8</v>
      </c>
      <c r="K441">
        <v>1</v>
      </c>
      <c r="L441">
        <f t="shared" si="12"/>
        <v>3.0910424533583161</v>
      </c>
      <c r="M441">
        <f t="shared" si="13"/>
        <v>4.498697941477575</v>
      </c>
    </row>
    <row r="442" spans="1:13" x14ac:dyDescent="0.2">
      <c r="A442" t="s">
        <v>314</v>
      </c>
      <c r="B442" t="s">
        <v>12</v>
      </c>
      <c r="C442" s="1" t="d">
        <v>2017-04-01</v>
      </c>
      <c r="D442">
        <v>34</v>
      </c>
      <c r="E442">
        <v>89.9</v>
      </c>
      <c r="F442" s="2" t="s">
        <v>317</v>
      </c>
      <c r="G442" s="2" t="s">
        <v>240</v>
      </c>
      <c r="H442" s="2" t="s">
        <v>315</v>
      </c>
      <c r="I442">
        <v>20</v>
      </c>
      <c r="J442">
        <v>10</v>
      </c>
      <c r="K442">
        <v>2</v>
      </c>
      <c r="L442">
        <f t="shared" si="12"/>
        <v>3.5263605246161616</v>
      </c>
      <c r="M442">
        <f t="shared" si="13"/>
        <v>4.498697941477575</v>
      </c>
    </row>
    <row r="443" spans="1:13" x14ac:dyDescent="0.2">
      <c r="A443" t="s">
        <v>314</v>
      </c>
      <c r="B443" t="s">
        <v>12</v>
      </c>
      <c r="C443" s="1" t="d">
        <v>2017-05-01</v>
      </c>
      <c r="D443">
        <v>58</v>
      </c>
      <c r="E443">
        <v>89.9</v>
      </c>
      <c r="F443" s="2" t="s">
        <v>318</v>
      </c>
      <c r="G443" s="2" t="s">
        <v>13</v>
      </c>
      <c r="H443" s="2" t="s">
        <v>319</v>
      </c>
      <c r="I443">
        <v>23</v>
      </c>
      <c r="J443">
        <v>8</v>
      </c>
      <c r="K443">
        <v>1</v>
      </c>
      <c r="L443">
        <f t="shared" si="12"/>
        <v>4.0604430105464191</v>
      </c>
      <c r="M443">
        <f t="shared" si="13"/>
        <v>4.498697941477575</v>
      </c>
    </row>
    <row r="444" spans="1:13" x14ac:dyDescent="0.2">
      <c r="A444" t="s">
        <v>314</v>
      </c>
      <c r="B444" t="s">
        <v>12</v>
      </c>
      <c r="C444" s="1" t="d">
        <v>2017-06-01</v>
      </c>
      <c r="D444">
        <v>51</v>
      </c>
      <c r="E444">
        <v>89.9</v>
      </c>
      <c r="F444" s="2" t="s">
        <v>320</v>
      </c>
      <c r="G444" s="2" t="s">
        <v>13</v>
      </c>
      <c r="H444" s="2" t="s">
        <v>319</v>
      </c>
      <c r="I444">
        <v>22</v>
      </c>
      <c r="J444">
        <v>8</v>
      </c>
      <c r="K444">
        <v>1</v>
      </c>
      <c r="L444">
        <f t="shared" si="12"/>
        <v>3.9318256327243257</v>
      </c>
      <c r="M444">
        <f t="shared" si="13"/>
        <v>4.498697941477575</v>
      </c>
    </row>
    <row r="445" spans="1:13" x14ac:dyDescent="0.2">
      <c r="A445" t="s">
        <v>314</v>
      </c>
      <c r="B445" t="s">
        <v>12</v>
      </c>
      <c r="C445" s="1" t="d">
        <v>2017-07-01</v>
      </c>
      <c r="D445">
        <v>60</v>
      </c>
      <c r="E445">
        <v>89.9</v>
      </c>
      <c r="F445">
        <v>5394</v>
      </c>
      <c r="G445" s="2" t="s">
        <v>13</v>
      </c>
      <c r="H445" s="2" t="s">
        <v>319</v>
      </c>
      <c r="I445">
        <v>21</v>
      </c>
      <c r="J445">
        <v>10</v>
      </c>
      <c r="K445">
        <v>1</v>
      </c>
      <c r="L445">
        <f t="shared" si="12"/>
        <v>4.0943445622221004</v>
      </c>
      <c r="M445">
        <f t="shared" si="13"/>
        <v>4.498697941477575</v>
      </c>
    </row>
    <row r="446" spans="1:13" x14ac:dyDescent="0.2">
      <c r="A446" t="s">
        <v>314</v>
      </c>
      <c r="B446" t="s">
        <v>12</v>
      </c>
      <c r="C446" s="1" t="d">
        <v>2017-08-01</v>
      </c>
      <c r="D446">
        <v>37</v>
      </c>
      <c r="E446">
        <v>89.9</v>
      </c>
      <c r="F446">
        <v>3326.3</v>
      </c>
      <c r="G446" s="2" t="s">
        <v>13</v>
      </c>
      <c r="H446" s="2" t="s">
        <v>319</v>
      </c>
      <c r="I446">
        <v>23</v>
      </c>
      <c r="J446">
        <v>8</v>
      </c>
      <c r="K446">
        <v>1</v>
      </c>
      <c r="L446">
        <f t="shared" si="12"/>
        <v>3.6109179126442243</v>
      </c>
      <c r="M446">
        <f t="shared" si="13"/>
        <v>4.498697941477575</v>
      </c>
    </row>
    <row r="447" spans="1:13" x14ac:dyDescent="0.2">
      <c r="A447" t="s">
        <v>314</v>
      </c>
      <c r="B447" t="s">
        <v>12</v>
      </c>
      <c r="C447" s="1" t="d">
        <v>2017-09-01</v>
      </c>
      <c r="D447">
        <v>23</v>
      </c>
      <c r="E447">
        <v>89.9</v>
      </c>
      <c r="F447" s="2" t="s">
        <v>321</v>
      </c>
      <c r="G447" s="2" t="s">
        <v>13</v>
      </c>
      <c r="H447" s="2" t="s">
        <v>319</v>
      </c>
      <c r="I447">
        <v>21</v>
      </c>
      <c r="J447">
        <v>9</v>
      </c>
      <c r="K447">
        <v>1</v>
      </c>
      <c r="L447">
        <f t="shared" si="12"/>
        <v>3.1354942159291497</v>
      </c>
      <c r="M447">
        <f t="shared" si="13"/>
        <v>4.498697941477575</v>
      </c>
    </row>
    <row r="448" spans="1:13" x14ac:dyDescent="0.2">
      <c r="A448" t="s">
        <v>314</v>
      </c>
      <c r="B448" t="s">
        <v>12</v>
      </c>
      <c r="C448" s="1" t="d">
        <v>2017-10-01</v>
      </c>
      <c r="D448">
        <v>14</v>
      </c>
      <c r="E448">
        <v>89.9</v>
      </c>
      <c r="F448" s="2" t="s">
        <v>322</v>
      </c>
      <c r="G448" s="2" t="s">
        <v>240</v>
      </c>
      <c r="H448" s="2" t="s">
        <v>315</v>
      </c>
      <c r="I448">
        <v>22</v>
      </c>
      <c r="J448">
        <v>9</v>
      </c>
      <c r="K448">
        <v>2</v>
      </c>
      <c r="L448">
        <f t="shared" si="12"/>
        <v>2.6390573296152584</v>
      </c>
      <c r="M448">
        <f t="shared" si="13"/>
        <v>4.498697941477575</v>
      </c>
    </row>
    <row r="449" spans="1:13" x14ac:dyDescent="0.2">
      <c r="A449" t="s">
        <v>314</v>
      </c>
      <c r="B449" t="s">
        <v>12</v>
      </c>
      <c r="C449" s="1" t="d">
        <v>2017-11-01</v>
      </c>
      <c r="D449">
        <v>40</v>
      </c>
      <c r="E449">
        <v>89.9</v>
      </c>
      <c r="F449">
        <v>3596</v>
      </c>
      <c r="G449" s="2" t="s">
        <v>240</v>
      </c>
      <c r="H449" s="2" t="s">
        <v>315</v>
      </c>
      <c r="I449">
        <v>22</v>
      </c>
      <c r="J449">
        <v>8</v>
      </c>
      <c r="K449">
        <v>4</v>
      </c>
      <c r="L449">
        <f t="shared" si="12"/>
        <v>3.6888794541139363</v>
      </c>
      <c r="M449">
        <f t="shared" si="13"/>
        <v>4.498697941477575</v>
      </c>
    </row>
    <row r="450" spans="1:13" x14ac:dyDescent="0.2">
      <c r="A450" t="s">
        <v>314</v>
      </c>
      <c r="B450" t="s">
        <v>12</v>
      </c>
      <c r="C450" s="1" t="d">
        <v>2017-12-01</v>
      </c>
      <c r="D450">
        <v>18</v>
      </c>
      <c r="E450">
        <v>88.488235290000006</v>
      </c>
      <c r="F450" s="2" t="s">
        <v>323</v>
      </c>
      <c r="G450" s="2" t="s">
        <v>240</v>
      </c>
      <c r="H450">
        <v>22.4970089720339</v>
      </c>
      <c r="I450">
        <v>21</v>
      </c>
      <c r="J450">
        <v>10</v>
      </c>
      <c r="K450">
        <v>1</v>
      </c>
      <c r="L450">
        <f t="shared" si="12"/>
        <v>2.8903717578961645</v>
      </c>
      <c r="M450">
        <f t="shared" si="13"/>
        <v>4.4828696086010291</v>
      </c>
    </row>
    <row r="451" spans="1:13" x14ac:dyDescent="0.2">
      <c r="A451" t="s">
        <v>314</v>
      </c>
      <c r="B451" t="s">
        <v>12</v>
      </c>
      <c r="C451" s="1" t="d">
        <v>2018-01-01</v>
      </c>
      <c r="D451">
        <v>17</v>
      </c>
      <c r="E451">
        <v>86.9</v>
      </c>
      <c r="F451" s="2" t="s">
        <v>324</v>
      </c>
      <c r="G451" s="2" t="s">
        <v>240</v>
      </c>
      <c r="H451" s="2" t="s">
        <v>325</v>
      </c>
      <c r="I451">
        <v>23</v>
      </c>
      <c r="J451">
        <v>8</v>
      </c>
      <c r="K451">
        <v>2</v>
      </c>
      <c r="L451">
        <f t="shared" ref="L451:L514" si="14">IF(D451&gt;0, LN(D451), "")</f>
        <v>2.8332133440562162</v>
      </c>
      <c r="M451">
        <f t="shared" ref="M451:M514" si="15">LN(E451)</f>
        <v>4.4647580322713463</v>
      </c>
    </row>
    <row r="452" spans="1:13" x14ac:dyDescent="0.2">
      <c r="A452" t="s">
        <v>314</v>
      </c>
      <c r="B452" t="s">
        <v>12</v>
      </c>
      <c r="C452" s="1" t="d">
        <v>2018-02-01</v>
      </c>
      <c r="D452">
        <v>22</v>
      </c>
      <c r="E452">
        <v>86.9</v>
      </c>
      <c r="F452" s="2" t="s">
        <v>326</v>
      </c>
      <c r="G452" s="2" t="s">
        <v>240</v>
      </c>
      <c r="H452" s="2" t="s">
        <v>325</v>
      </c>
      <c r="I452">
        <v>20</v>
      </c>
      <c r="J452">
        <v>8</v>
      </c>
      <c r="K452">
        <v>2</v>
      </c>
      <c r="L452">
        <f t="shared" si="14"/>
        <v>3.0910424533583161</v>
      </c>
      <c r="M452">
        <f t="shared" si="15"/>
        <v>4.4647580322713463</v>
      </c>
    </row>
    <row r="453" spans="1:13" x14ac:dyDescent="0.2">
      <c r="A453" t="s">
        <v>314</v>
      </c>
      <c r="B453" t="s">
        <v>12</v>
      </c>
      <c r="C453" s="1" t="d">
        <v>2018-03-01</v>
      </c>
      <c r="D453">
        <v>17</v>
      </c>
      <c r="E453">
        <v>86.9</v>
      </c>
      <c r="F453" s="2" t="s">
        <v>324</v>
      </c>
      <c r="G453" s="2" t="s">
        <v>240</v>
      </c>
      <c r="H453" s="2" t="s">
        <v>325</v>
      </c>
      <c r="I453">
        <v>22</v>
      </c>
      <c r="J453">
        <v>9</v>
      </c>
      <c r="K453">
        <v>1</v>
      </c>
      <c r="L453">
        <f t="shared" si="14"/>
        <v>2.8332133440562162</v>
      </c>
      <c r="M453">
        <f t="shared" si="15"/>
        <v>4.4647580322713463</v>
      </c>
    </row>
    <row r="454" spans="1:13" x14ac:dyDescent="0.2">
      <c r="A454" t="s">
        <v>314</v>
      </c>
      <c r="B454" t="s">
        <v>12</v>
      </c>
      <c r="C454" s="1" t="d">
        <v>2018-04-01</v>
      </c>
      <c r="D454">
        <v>6</v>
      </c>
      <c r="E454">
        <v>85.045000000000002</v>
      </c>
      <c r="F454">
        <v>510.27</v>
      </c>
      <c r="G454" s="2" t="s">
        <v>240</v>
      </c>
      <c r="H454" s="2" t="s">
        <v>327</v>
      </c>
      <c r="I454">
        <v>21</v>
      </c>
      <c r="J454">
        <v>9</v>
      </c>
      <c r="K454">
        <v>1</v>
      </c>
      <c r="L454">
        <f t="shared" si="14"/>
        <v>1.791759469228055</v>
      </c>
      <c r="M454">
        <f t="shared" si="15"/>
        <v>4.4431805281660548</v>
      </c>
    </row>
    <row r="455" spans="1:13" x14ac:dyDescent="0.2">
      <c r="A455" t="s">
        <v>314</v>
      </c>
      <c r="B455" t="s">
        <v>12</v>
      </c>
      <c r="C455" s="1" t="d">
        <v>2018-05-01</v>
      </c>
      <c r="D455">
        <v>26</v>
      </c>
      <c r="E455">
        <v>83.64961538</v>
      </c>
      <c r="F455">
        <v>2174.8899998799998</v>
      </c>
      <c r="G455" s="2" t="s">
        <v>240</v>
      </c>
      <c r="H455" s="2" t="s">
        <v>328</v>
      </c>
      <c r="I455">
        <v>23</v>
      </c>
      <c r="J455">
        <v>8</v>
      </c>
      <c r="K455">
        <v>3</v>
      </c>
      <c r="L455">
        <f t="shared" si="14"/>
        <v>3.2580965380214821</v>
      </c>
      <c r="M455">
        <f t="shared" si="15"/>
        <v>4.42663682945454</v>
      </c>
    </row>
    <row r="456" spans="1:13" x14ac:dyDescent="0.2">
      <c r="A456" t="s">
        <v>314</v>
      </c>
      <c r="B456" t="s">
        <v>12</v>
      </c>
      <c r="C456" s="1" t="d">
        <v>2018-06-01</v>
      </c>
      <c r="D456">
        <v>23</v>
      </c>
      <c r="E456">
        <v>79.900000000000006</v>
      </c>
      <c r="F456">
        <v>1837.7</v>
      </c>
      <c r="G456" s="2" t="s">
        <v>240</v>
      </c>
      <c r="H456">
        <v>20.3135593220339</v>
      </c>
      <c r="I456">
        <v>21</v>
      </c>
      <c r="J456">
        <v>9</v>
      </c>
      <c r="K456">
        <v>0</v>
      </c>
      <c r="L456">
        <f t="shared" si="14"/>
        <v>3.1354942159291497</v>
      </c>
      <c r="M456">
        <f t="shared" si="15"/>
        <v>4.3807758527722287</v>
      </c>
    </row>
    <row r="457" spans="1:13" x14ac:dyDescent="0.2">
      <c r="A457" t="s">
        <v>314</v>
      </c>
      <c r="B457" t="s">
        <v>12</v>
      </c>
      <c r="C457" s="1" t="d">
        <v>2018-07-01</v>
      </c>
      <c r="D457">
        <v>10</v>
      </c>
      <c r="E457">
        <v>77.933333329999996</v>
      </c>
      <c r="F457" s="2" t="s">
        <v>329</v>
      </c>
      <c r="G457" s="2" t="s">
        <v>240</v>
      </c>
      <c r="H457" s="2" t="s">
        <v>330</v>
      </c>
      <c r="I457">
        <v>22</v>
      </c>
      <c r="J457">
        <v>9</v>
      </c>
      <c r="K457">
        <v>1</v>
      </c>
      <c r="L457">
        <f t="shared" si="14"/>
        <v>2.3025850929940459</v>
      </c>
      <c r="M457">
        <f t="shared" si="15"/>
        <v>4.3558537603270864</v>
      </c>
    </row>
    <row r="458" spans="1:13" x14ac:dyDescent="0.2">
      <c r="A458" t="s">
        <v>314</v>
      </c>
      <c r="B458" t="s">
        <v>12</v>
      </c>
      <c r="C458" s="1" t="d">
        <v>2018-08-01</v>
      </c>
      <c r="D458">
        <v>7</v>
      </c>
      <c r="E458">
        <v>74</v>
      </c>
      <c r="F458">
        <v>518</v>
      </c>
      <c r="G458" s="2" t="s">
        <v>240</v>
      </c>
      <c r="H458" s="2" t="s">
        <v>331</v>
      </c>
      <c r="I458">
        <v>23</v>
      </c>
      <c r="J458">
        <v>8</v>
      </c>
      <c r="K458">
        <v>1</v>
      </c>
      <c r="L458">
        <f t="shared" si="14"/>
        <v>1.9459101490553132</v>
      </c>
      <c r="M458">
        <f t="shared" si="15"/>
        <v>4.3040650932041702</v>
      </c>
    </row>
    <row r="459" spans="1:13" x14ac:dyDescent="0.2">
      <c r="A459" t="s">
        <v>332</v>
      </c>
      <c r="B459" t="s">
        <v>264</v>
      </c>
      <c r="C459" s="1" t="d">
        <v>2017-08-01</v>
      </c>
      <c r="D459">
        <v>1</v>
      </c>
      <c r="E459">
        <v>38.4</v>
      </c>
      <c r="F459">
        <v>38.4</v>
      </c>
      <c r="G459" s="2" t="s">
        <v>240</v>
      </c>
      <c r="H459" s="2" t="s">
        <v>333</v>
      </c>
      <c r="I459">
        <v>23</v>
      </c>
      <c r="J459">
        <v>8</v>
      </c>
      <c r="K459">
        <v>1</v>
      </c>
      <c r="L459">
        <f t="shared" si="14"/>
        <v>0</v>
      </c>
      <c r="M459">
        <f t="shared" si="15"/>
        <v>3.648057459593681</v>
      </c>
    </row>
    <row r="460" spans="1:13" x14ac:dyDescent="0.2">
      <c r="A460" t="s">
        <v>332</v>
      </c>
      <c r="B460" t="s">
        <v>264</v>
      </c>
      <c r="C460" s="1" t="d">
        <v>2017-09-01</v>
      </c>
      <c r="D460">
        <v>6</v>
      </c>
      <c r="E460">
        <v>38.4</v>
      </c>
      <c r="F460" s="2" t="s">
        <v>334</v>
      </c>
      <c r="G460" s="2" t="s">
        <v>335</v>
      </c>
      <c r="H460" s="2" t="s">
        <v>336</v>
      </c>
      <c r="I460">
        <v>21</v>
      </c>
      <c r="J460">
        <v>9</v>
      </c>
      <c r="K460">
        <v>1</v>
      </c>
      <c r="L460">
        <f t="shared" si="14"/>
        <v>1.791759469228055</v>
      </c>
      <c r="M460">
        <f t="shared" si="15"/>
        <v>3.648057459593681</v>
      </c>
    </row>
    <row r="461" spans="1:13" x14ac:dyDescent="0.2">
      <c r="A461" t="s">
        <v>332</v>
      </c>
      <c r="B461" t="s">
        <v>264</v>
      </c>
      <c r="C461" s="1" t="d">
        <v>2017-10-01</v>
      </c>
      <c r="D461">
        <v>8</v>
      </c>
      <c r="E461">
        <v>38.4</v>
      </c>
      <c r="F461">
        <v>307.2</v>
      </c>
      <c r="G461" s="2" t="s">
        <v>240</v>
      </c>
      <c r="H461" s="2" t="s">
        <v>333</v>
      </c>
      <c r="I461">
        <v>22</v>
      </c>
      <c r="J461">
        <v>9</v>
      </c>
      <c r="K461">
        <v>2</v>
      </c>
      <c r="L461">
        <f t="shared" si="14"/>
        <v>2.0794415416798357</v>
      </c>
      <c r="M461">
        <f t="shared" si="15"/>
        <v>3.648057459593681</v>
      </c>
    </row>
    <row r="462" spans="1:13" x14ac:dyDescent="0.2">
      <c r="A462" t="s">
        <v>332</v>
      </c>
      <c r="B462" t="s">
        <v>264</v>
      </c>
      <c r="C462" s="1" t="d">
        <v>2017-11-01</v>
      </c>
      <c r="D462">
        <v>34</v>
      </c>
      <c r="E462">
        <v>34.581176470000003</v>
      </c>
      <c r="F462">
        <v>1175.75999998</v>
      </c>
      <c r="G462" s="2" t="s">
        <v>240</v>
      </c>
      <c r="H462" s="2" t="s">
        <v>337</v>
      </c>
      <c r="I462">
        <v>22</v>
      </c>
      <c r="J462">
        <v>8</v>
      </c>
      <c r="K462">
        <v>4</v>
      </c>
      <c r="L462">
        <f t="shared" si="14"/>
        <v>3.5263605246161616</v>
      </c>
      <c r="M462">
        <f t="shared" si="15"/>
        <v>3.5433095013652576</v>
      </c>
    </row>
    <row r="463" spans="1:13" x14ac:dyDescent="0.2">
      <c r="A463" t="s">
        <v>332</v>
      </c>
      <c r="B463" t="s">
        <v>264</v>
      </c>
      <c r="C463" s="1" t="d">
        <v>2017-12-01</v>
      </c>
      <c r="D463">
        <v>4</v>
      </c>
      <c r="E463">
        <v>38.4</v>
      </c>
      <c r="F463">
        <v>153.6</v>
      </c>
      <c r="G463" s="2" t="s">
        <v>338</v>
      </c>
      <c r="H463" s="2" t="s">
        <v>339</v>
      </c>
      <c r="I463">
        <v>21</v>
      </c>
      <c r="J463">
        <v>10</v>
      </c>
      <c r="K463">
        <v>1</v>
      </c>
      <c r="L463">
        <f t="shared" si="14"/>
        <v>1.3862943611198906</v>
      </c>
      <c r="M463">
        <f t="shared" si="15"/>
        <v>3.648057459593681</v>
      </c>
    </row>
    <row r="464" spans="1:13" x14ac:dyDescent="0.2">
      <c r="A464" t="s">
        <v>332</v>
      </c>
      <c r="B464" t="s">
        <v>264</v>
      </c>
      <c r="C464" s="1" t="d">
        <v>2018-01-01</v>
      </c>
      <c r="D464">
        <v>15</v>
      </c>
      <c r="E464">
        <v>38.4</v>
      </c>
      <c r="F464">
        <v>576</v>
      </c>
      <c r="G464" s="2" t="s">
        <v>240</v>
      </c>
      <c r="H464" s="2" t="s">
        <v>333</v>
      </c>
      <c r="I464">
        <v>23</v>
      </c>
      <c r="J464">
        <v>8</v>
      </c>
      <c r="K464">
        <v>2</v>
      </c>
      <c r="L464">
        <f t="shared" si="14"/>
        <v>2.7080502011022101</v>
      </c>
      <c r="M464">
        <f t="shared" si="15"/>
        <v>3.648057459593681</v>
      </c>
    </row>
    <row r="465" spans="1:13" x14ac:dyDescent="0.2">
      <c r="A465" t="s">
        <v>332</v>
      </c>
      <c r="B465" t="s">
        <v>264</v>
      </c>
      <c r="C465" s="1" t="d">
        <v>2018-02-01</v>
      </c>
      <c r="D465">
        <v>4</v>
      </c>
      <c r="E465">
        <v>38.4</v>
      </c>
      <c r="F465">
        <v>153.6</v>
      </c>
      <c r="G465" s="2" t="s">
        <v>240</v>
      </c>
      <c r="H465" s="2" t="s">
        <v>333</v>
      </c>
      <c r="I465">
        <v>20</v>
      </c>
      <c r="J465">
        <v>8</v>
      </c>
      <c r="K465">
        <v>2</v>
      </c>
      <c r="L465">
        <f t="shared" si="14"/>
        <v>1.3862943611198906</v>
      </c>
      <c r="M465">
        <f t="shared" si="15"/>
        <v>3.648057459593681</v>
      </c>
    </row>
    <row r="466" spans="1:13" x14ac:dyDescent="0.2">
      <c r="A466" t="s">
        <v>332</v>
      </c>
      <c r="B466" t="s">
        <v>264</v>
      </c>
      <c r="C466" s="1" t="d">
        <v>2018-03-01</v>
      </c>
      <c r="D466">
        <v>14</v>
      </c>
      <c r="E466">
        <v>35.485714289999997</v>
      </c>
      <c r="F466" s="2" t="s">
        <v>340</v>
      </c>
      <c r="G466" s="2" t="s">
        <v>240</v>
      </c>
      <c r="H466" s="2" t="s">
        <v>341</v>
      </c>
      <c r="I466">
        <v>22</v>
      </c>
      <c r="J466">
        <v>9</v>
      </c>
      <c r="K466">
        <v>1</v>
      </c>
      <c r="L466">
        <f t="shared" si="14"/>
        <v>2.6390573296152584</v>
      </c>
      <c r="M466">
        <f t="shared" si="15"/>
        <v>3.5691302011247834</v>
      </c>
    </row>
    <row r="467" spans="1:13" x14ac:dyDescent="0.2">
      <c r="A467" t="s">
        <v>332</v>
      </c>
      <c r="B467" t="s">
        <v>264</v>
      </c>
      <c r="C467" s="1" t="d">
        <v>2018-04-01</v>
      </c>
      <c r="D467">
        <v>4</v>
      </c>
      <c r="E467">
        <v>35</v>
      </c>
      <c r="F467">
        <v>140</v>
      </c>
      <c r="G467" s="2" t="s">
        <v>240</v>
      </c>
      <c r="H467" s="2" t="s">
        <v>342</v>
      </c>
      <c r="I467">
        <v>21</v>
      </c>
      <c r="J467">
        <v>9</v>
      </c>
      <c r="K467">
        <v>1</v>
      </c>
      <c r="L467">
        <f t="shared" si="14"/>
        <v>1.3862943611198906</v>
      </c>
      <c r="M467">
        <f t="shared" si="15"/>
        <v>3.5553480614894135</v>
      </c>
    </row>
    <row r="468" spans="1:13" x14ac:dyDescent="0.2">
      <c r="A468" t="s">
        <v>332</v>
      </c>
      <c r="B468" t="s">
        <v>264</v>
      </c>
      <c r="C468" s="1" t="d">
        <v>2018-05-01</v>
      </c>
      <c r="D468">
        <v>4</v>
      </c>
      <c r="E468">
        <v>35</v>
      </c>
      <c r="F468">
        <v>140</v>
      </c>
      <c r="G468" s="2" t="s">
        <v>240</v>
      </c>
      <c r="H468" s="2" t="s">
        <v>342</v>
      </c>
      <c r="I468">
        <v>23</v>
      </c>
      <c r="J468">
        <v>8</v>
      </c>
      <c r="K468">
        <v>3</v>
      </c>
      <c r="L468">
        <f t="shared" si="14"/>
        <v>1.3862943611198906</v>
      </c>
      <c r="M468">
        <f t="shared" si="15"/>
        <v>3.5553480614894135</v>
      </c>
    </row>
    <row r="469" spans="1:13" x14ac:dyDescent="0.2">
      <c r="A469" t="s">
        <v>332</v>
      </c>
      <c r="B469" t="s">
        <v>264</v>
      </c>
      <c r="C469" s="1" t="d">
        <v>2018-06-01</v>
      </c>
      <c r="D469">
        <v>2</v>
      </c>
      <c r="E469">
        <v>35</v>
      </c>
      <c r="F469">
        <v>70</v>
      </c>
      <c r="G469" s="2" t="s">
        <v>240</v>
      </c>
      <c r="H469" s="2" t="s">
        <v>342</v>
      </c>
      <c r="I469">
        <v>21</v>
      </c>
      <c r="J469">
        <v>9</v>
      </c>
      <c r="K469">
        <v>0</v>
      </c>
      <c r="L469">
        <f t="shared" si="14"/>
        <v>0.69314718055994529</v>
      </c>
      <c r="M469">
        <f t="shared" si="15"/>
        <v>3.5553480614894135</v>
      </c>
    </row>
    <row r="470" spans="1:13" x14ac:dyDescent="0.2">
      <c r="A470" t="s">
        <v>332</v>
      </c>
      <c r="B470" t="s">
        <v>264</v>
      </c>
      <c r="C470" s="1" t="d">
        <v>2018-08-01</v>
      </c>
      <c r="D470">
        <v>1</v>
      </c>
      <c r="E470">
        <v>35</v>
      </c>
      <c r="F470">
        <v>35</v>
      </c>
      <c r="G470" s="2" t="s">
        <v>240</v>
      </c>
      <c r="H470" s="2" t="s">
        <v>342</v>
      </c>
      <c r="I470">
        <v>23</v>
      </c>
      <c r="J470">
        <v>8</v>
      </c>
      <c r="K470">
        <v>1</v>
      </c>
      <c r="L470">
        <f t="shared" si="14"/>
        <v>0</v>
      </c>
      <c r="M470">
        <f t="shared" si="15"/>
        <v>3.5553480614894135</v>
      </c>
    </row>
    <row r="471" spans="1:13" x14ac:dyDescent="0.2">
      <c r="A471" t="s">
        <v>343</v>
      </c>
      <c r="B471" t="s">
        <v>156</v>
      </c>
      <c r="C471" s="1" t="d">
        <v>2017-11-01</v>
      </c>
      <c r="D471">
        <v>13</v>
      </c>
      <c r="E471">
        <v>108</v>
      </c>
      <c r="F471">
        <v>1404</v>
      </c>
      <c r="G471" s="2" t="s">
        <v>47</v>
      </c>
      <c r="H471" s="2" t="s">
        <v>344</v>
      </c>
      <c r="I471">
        <v>22</v>
      </c>
      <c r="J471">
        <v>8</v>
      </c>
      <c r="K471">
        <v>4</v>
      </c>
      <c r="L471">
        <f t="shared" si="14"/>
        <v>2.5649493574615367</v>
      </c>
      <c r="M471">
        <f t="shared" si="15"/>
        <v>4.6821312271242199</v>
      </c>
    </row>
    <row r="472" spans="1:13" x14ac:dyDescent="0.2">
      <c r="A472" t="s">
        <v>343</v>
      </c>
      <c r="B472" t="s">
        <v>156</v>
      </c>
      <c r="C472" s="1" t="d">
        <v>2017-12-01</v>
      </c>
      <c r="D472">
        <v>13</v>
      </c>
      <c r="E472">
        <v>108</v>
      </c>
      <c r="F472">
        <v>1404</v>
      </c>
      <c r="G472" s="2" t="s">
        <v>47</v>
      </c>
      <c r="H472" s="2" t="s">
        <v>344</v>
      </c>
      <c r="I472">
        <v>21</v>
      </c>
      <c r="J472">
        <v>10</v>
      </c>
      <c r="K472">
        <v>1</v>
      </c>
      <c r="L472">
        <f t="shared" si="14"/>
        <v>2.5649493574615367</v>
      </c>
      <c r="M472">
        <f t="shared" si="15"/>
        <v>4.6821312271242199</v>
      </c>
    </row>
    <row r="473" spans="1:13" x14ac:dyDescent="0.2">
      <c r="A473" t="s">
        <v>343</v>
      </c>
      <c r="B473" t="s">
        <v>156</v>
      </c>
      <c r="C473" s="1" t="d">
        <v>2018-01-01</v>
      </c>
      <c r="D473">
        <v>44</v>
      </c>
      <c r="E473">
        <v>108</v>
      </c>
      <c r="F473">
        <v>4752</v>
      </c>
      <c r="G473" s="2" t="s">
        <v>47</v>
      </c>
      <c r="H473" s="2" t="s">
        <v>344</v>
      </c>
      <c r="I473">
        <v>23</v>
      </c>
      <c r="J473">
        <v>8</v>
      </c>
      <c r="K473">
        <v>2</v>
      </c>
      <c r="L473">
        <f t="shared" si="14"/>
        <v>3.784189633918261</v>
      </c>
      <c r="M473">
        <f t="shared" si="15"/>
        <v>4.6821312271242199</v>
      </c>
    </row>
    <row r="474" spans="1:13" x14ac:dyDescent="0.2">
      <c r="A474" t="s">
        <v>343</v>
      </c>
      <c r="B474" t="s">
        <v>156</v>
      </c>
      <c r="C474" s="1" t="d">
        <v>2018-02-01</v>
      </c>
      <c r="D474">
        <v>33</v>
      </c>
      <c r="E474">
        <v>108</v>
      </c>
      <c r="F474">
        <v>3564</v>
      </c>
      <c r="G474" s="2" t="s">
        <v>47</v>
      </c>
      <c r="H474" s="2" t="s">
        <v>344</v>
      </c>
      <c r="I474">
        <v>20</v>
      </c>
      <c r="J474">
        <v>8</v>
      </c>
      <c r="K474">
        <v>2</v>
      </c>
      <c r="L474">
        <f t="shared" si="14"/>
        <v>3.4965075614664802</v>
      </c>
      <c r="M474">
        <f t="shared" si="15"/>
        <v>4.6821312271242199</v>
      </c>
    </row>
    <row r="475" spans="1:13" x14ac:dyDescent="0.2">
      <c r="A475" t="s">
        <v>343</v>
      </c>
      <c r="B475" t="s">
        <v>156</v>
      </c>
      <c r="C475" s="1" t="d">
        <v>2018-03-01</v>
      </c>
      <c r="D475">
        <v>21</v>
      </c>
      <c r="E475">
        <v>105.6428571</v>
      </c>
      <c r="F475">
        <v>2218.4999991</v>
      </c>
      <c r="G475" s="2" t="s">
        <v>47</v>
      </c>
      <c r="H475" s="2" t="s">
        <v>345</v>
      </c>
      <c r="I475">
        <v>22</v>
      </c>
      <c r="J475">
        <v>9</v>
      </c>
      <c r="K475">
        <v>1</v>
      </c>
      <c r="L475">
        <f t="shared" si="14"/>
        <v>3.044522437723423</v>
      </c>
      <c r="M475">
        <f t="shared" si="15"/>
        <v>4.660064132689862</v>
      </c>
    </row>
    <row r="476" spans="1:13" x14ac:dyDescent="0.2">
      <c r="A476" t="s">
        <v>343</v>
      </c>
      <c r="B476" t="s">
        <v>156</v>
      </c>
      <c r="C476" s="1" t="d">
        <v>2018-04-01</v>
      </c>
      <c r="D476">
        <v>21</v>
      </c>
      <c r="E476">
        <v>105</v>
      </c>
      <c r="F476">
        <v>2205</v>
      </c>
      <c r="G476" s="2" t="s">
        <v>47</v>
      </c>
      <c r="H476" s="2" t="s">
        <v>346</v>
      </c>
      <c r="I476">
        <v>21</v>
      </c>
      <c r="J476">
        <v>9</v>
      </c>
      <c r="K476">
        <v>1</v>
      </c>
      <c r="L476">
        <f t="shared" si="14"/>
        <v>3.044522437723423</v>
      </c>
      <c r="M476">
        <f t="shared" si="15"/>
        <v>4.6539603501575231</v>
      </c>
    </row>
    <row r="477" spans="1:13" x14ac:dyDescent="0.2">
      <c r="A477" t="s">
        <v>343</v>
      </c>
      <c r="B477" t="s">
        <v>156</v>
      </c>
      <c r="C477" s="1" t="d">
        <v>2018-05-01</v>
      </c>
      <c r="D477">
        <v>37</v>
      </c>
      <c r="E477">
        <v>105</v>
      </c>
      <c r="F477">
        <v>3885</v>
      </c>
      <c r="G477" s="2" t="s">
        <v>47</v>
      </c>
      <c r="H477" s="2" t="s">
        <v>346</v>
      </c>
      <c r="I477">
        <v>23</v>
      </c>
      <c r="J477">
        <v>8</v>
      </c>
      <c r="K477">
        <v>3</v>
      </c>
      <c r="L477">
        <f t="shared" si="14"/>
        <v>3.6109179126442243</v>
      </c>
      <c r="M477">
        <f t="shared" si="15"/>
        <v>4.6539603501575231</v>
      </c>
    </row>
    <row r="478" spans="1:13" x14ac:dyDescent="0.2">
      <c r="A478" t="s">
        <v>343</v>
      </c>
      <c r="B478" t="s">
        <v>156</v>
      </c>
      <c r="C478" s="1" t="d">
        <v>2018-06-01</v>
      </c>
      <c r="D478">
        <v>28</v>
      </c>
      <c r="E478">
        <v>105</v>
      </c>
      <c r="F478">
        <v>2940</v>
      </c>
      <c r="G478" s="2" t="s">
        <v>47</v>
      </c>
      <c r="H478" s="2" t="s">
        <v>346</v>
      </c>
      <c r="I478">
        <v>21</v>
      </c>
      <c r="J478">
        <v>9</v>
      </c>
      <c r="K478">
        <v>0</v>
      </c>
      <c r="L478">
        <f t="shared" si="14"/>
        <v>3.3322045101752038</v>
      </c>
      <c r="M478">
        <f t="shared" si="15"/>
        <v>4.6539603501575231</v>
      </c>
    </row>
    <row r="479" spans="1:13" x14ac:dyDescent="0.2">
      <c r="A479" t="s">
        <v>343</v>
      </c>
      <c r="B479" t="s">
        <v>156</v>
      </c>
      <c r="C479" s="1" t="d">
        <v>2018-07-01</v>
      </c>
      <c r="D479">
        <v>8</v>
      </c>
      <c r="E479">
        <v>105</v>
      </c>
      <c r="F479">
        <v>840</v>
      </c>
      <c r="G479" s="2" t="s">
        <v>47</v>
      </c>
      <c r="H479" s="2" t="s">
        <v>346</v>
      </c>
      <c r="I479">
        <v>22</v>
      </c>
      <c r="J479">
        <v>9</v>
      </c>
      <c r="K479">
        <v>1</v>
      </c>
      <c r="L479">
        <f t="shared" si="14"/>
        <v>2.0794415416798357</v>
      </c>
      <c r="M479">
        <f t="shared" si="15"/>
        <v>4.6539603501575231</v>
      </c>
    </row>
    <row r="480" spans="1:13" x14ac:dyDescent="0.2">
      <c r="A480" t="s">
        <v>343</v>
      </c>
      <c r="B480" t="s">
        <v>156</v>
      </c>
      <c r="C480" s="1" t="d">
        <v>2018-08-01</v>
      </c>
      <c r="D480">
        <v>7</v>
      </c>
      <c r="E480">
        <v>105</v>
      </c>
      <c r="F480">
        <v>735</v>
      </c>
      <c r="G480" s="2" t="s">
        <v>47</v>
      </c>
      <c r="H480" s="2" t="s">
        <v>346</v>
      </c>
      <c r="I480">
        <v>23</v>
      </c>
      <c r="J480">
        <v>8</v>
      </c>
      <c r="K480">
        <v>1</v>
      </c>
      <c r="L480">
        <f t="shared" si="14"/>
        <v>1.9459101490553132</v>
      </c>
      <c r="M480">
        <f t="shared" si="15"/>
        <v>4.6539603501575231</v>
      </c>
    </row>
    <row r="481" spans="1:13" x14ac:dyDescent="0.2">
      <c r="A481" t="s">
        <v>347</v>
      </c>
      <c r="B481" t="s">
        <v>156</v>
      </c>
      <c r="C481" s="1" t="d">
        <v>2017-03-01</v>
      </c>
      <c r="D481">
        <v>1</v>
      </c>
      <c r="E481">
        <v>78</v>
      </c>
      <c r="F481">
        <v>78</v>
      </c>
      <c r="G481" s="2" t="s">
        <v>240</v>
      </c>
      <c r="H481" s="2" t="s">
        <v>348</v>
      </c>
      <c r="I481">
        <v>23</v>
      </c>
      <c r="J481">
        <v>8</v>
      </c>
      <c r="K481">
        <v>1</v>
      </c>
      <c r="L481">
        <f t="shared" si="14"/>
        <v>0</v>
      </c>
      <c r="M481">
        <f t="shared" si="15"/>
        <v>4.3567088266895917</v>
      </c>
    </row>
    <row r="482" spans="1:13" x14ac:dyDescent="0.2">
      <c r="A482" t="s">
        <v>347</v>
      </c>
      <c r="B482" t="s">
        <v>156</v>
      </c>
      <c r="C482" s="1" t="d">
        <v>2017-06-01</v>
      </c>
      <c r="D482">
        <v>3</v>
      </c>
      <c r="E482">
        <v>78</v>
      </c>
      <c r="F482">
        <v>234</v>
      </c>
      <c r="G482" s="2" t="s">
        <v>39</v>
      </c>
      <c r="H482" s="2" t="s">
        <v>349</v>
      </c>
      <c r="I482">
        <v>22</v>
      </c>
      <c r="J482">
        <v>8</v>
      </c>
      <c r="K482">
        <v>1</v>
      </c>
      <c r="L482">
        <f t="shared" si="14"/>
        <v>1.0986122886681098</v>
      </c>
      <c r="M482">
        <f t="shared" si="15"/>
        <v>4.3567088266895917</v>
      </c>
    </row>
    <row r="483" spans="1:13" x14ac:dyDescent="0.2">
      <c r="A483" t="s">
        <v>347</v>
      </c>
      <c r="B483" t="s">
        <v>156</v>
      </c>
      <c r="C483" s="1" t="d">
        <v>2017-07-01</v>
      </c>
      <c r="D483">
        <v>1</v>
      </c>
      <c r="E483">
        <v>78</v>
      </c>
      <c r="F483">
        <v>78</v>
      </c>
      <c r="G483" s="2" t="s">
        <v>39</v>
      </c>
      <c r="H483" s="2" t="s">
        <v>349</v>
      </c>
      <c r="I483">
        <v>21</v>
      </c>
      <c r="J483">
        <v>10</v>
      </c>
      <c r="K483">
        <v>1</v>
      </c>
      <c r="L483">
        <f t="shared" si="14"/>
        <v>0</v>
      </c>
      <c r="M483">
        <f t="shared" si="15"/>
        <v>4.3567088266895917</v>
      </c>
    </row>
    <row r="484" spans="1:13" x14ac:dyDescent="0.2">
      <c r="A484" t="s">
        <v>347</v>
      </c>
      <c r="B484" t="s">
        <v>156</v>
      </c>
      <c r="C484" s="1" t="d">
        <v>2017-08-01</v>
      </c>
      <c r="D484">
        <v>5</v>
      </c>
      <c r="E484">
        <v>78</v>
      </c>
      <c r="F484">
        <v>390</v>
      </c>
      <c r="G484" s="2" t="s">
        <v>39</v>
      </c>
      <c r="H484" s="2" t="s">
        <v>349</v>
      </c>
      <c r="I484">
        <v>23</v>
      </c>
      <c r="J484">
        <v>8</v>
      </c>
      <c r="K484">
        <v>1</v>
      </c>
      <c r="L484">
        <f t="shared" si="14"/>
        <v>1.6094379124341003</v>
      </c>
      <c r="M484">
        <f t="shared" si="15"/>
        <v>4.3567088266895917</v>
      </c>
    </row>
    <row r="485" spans="1:13" x14ac:dyDescent="0.2">
      <c r="A485" t="s">
        <v>347</v>
      </c>
      <c r="B485" t="s">
        <v>156</v>
      </c>
      <c r="C485" s="1" t="d">
        <v>2017-10-01</v>
      </c>
      <c r="D485">
        <v>3</v>
      </c>
      <c r="E485">
        <v>78</v>
      </c>
      <c r="F485">
        <v>234</v>
      </c>
      <c r="G485" s="2" t="s">
        <v>39</v>
      </c>
      <c r="H485" s="2" t="s">
        <v>349</v>
      </c>
      <c r="I485">
        <v>22</v>
      </c>
      <c r="J485">
        <v>9</v>
      </c>
      <c r="K485">
        <v>2</v>
      </c>
      <c r="L485">
        <f t="shared" si="14"/>
        <v>1.0986122886681098</v>
      </c>
      <c r="M485">
        <f t="shared" si="15"/>
        <v>4.3567088266895917</v>
      </c>
    </row>
    <row r="486" spans="1:13" x14ac:dyDescent="0.2">
      <c r="A486" t="s">
        <v>347</v>
      </c>
      <c r="B486" t="s">
        <v>156</v>
      </c>
      <c r="C486" s="1" t="d">
        <v>2017-11-01</v>
      </c>
      <c r="D486">
        <v>2</v>
      </c>
      <c r="E486">
        <v>78</v>
      </c>
      <c r="F486">
        <v>156</v>
      </c>
      <c r="G486" s="2" t="s">
        <v>47</v>
      </c>
      <c r="H486" s="2" t="s">
        <v>350</v>
      </c>
      <c r="I486">
        <v>22</v>
      </c>
      <c r="J486">
        <v>8</v>
      </c>
      <c r="K486">
        <v>4</v>
      </c>
      <c r="L486">
        <f t="shared" si="14"/>
        <v>0.69314718055994529</v>
      </c>
      <c r="M486">
        <f t="shared" si="15"/>
        <v>4.3567088266895917</v>
      </c>
    </row>
    <row r="487" spans="1:13" x14ac:dyDescent="0.2">
      <c r="A487" t="s">
        <v>347</v>
      </c>
      <c r="B487" t="s">
        <v>156</v>
      </c>
      <c r="C487" s="1" t="d">
        <v>2017-12-01</v>
      </c>
      <c r="D487">
        <v>6</v>
      </c>
      <c r="E487">
        <v>78</v>
      </c>
      <c r="F487">
        <v>468</v>
      </c>
      <c r="G487" s="2" t="s">
        <v>47</v>
      </c>
      <c r="H487" s="2" t="s">
        <v>350</v>
      </c>
      <c r="I487">
        <v>21</v>
      </c>
      <c r="J487">
        <v>10</v>
      </c>
      <c r="K487">
        <v>1</v>
      </c>
      <c r="L487">
        <f t="shared" si="14"/>
        <v>1.791759469228055</v>
      </c>
      <c r="M487">
        <f t="shared" si="15"/>
        <v>4.3567088266895917</v>
      </c>
    </row>
    <row r="488" spans="1:13" x14ac:dyDescent="0.2">
      <c r="A488" t="s">
        <v>347</v>
      </c>
      <c r="B488" t="s">
        <v>156</v>
      </c>
      <c r="C488" s="1" t="d">
        <v>2018-01-01</v>
      </c>
      <c r="D488">
        <v>9</v>
      </c>
      <c r="E488">
        <v>78</v>
      </c>
      <c r="F488">
        <v>702</v>
      </c>
      <c r="G488" s="2" t="s">
        <v>39</v>
      </c>
      <c r="H488" s="2" t="s">
        <v>349</v>
      </c>
      <c r="I488">
        <v>23</v>
      </c>
      <c r="J488">
        <v>8</v>
      </c>
      <c r="K488">
        <v>2</v>
      </c>
      <c r="L488">
        <f t="shared" si="14"/>
        <v>2.1972245773362196</v>
      </c>
      <c r="M488">
        <f t="shared" si="15"/>
        <v>4.3567088266895917</v>
      </c>
    </row>
    <row r="489" spans="1:13" x14ac:dyDescent="0.2">
      <c r="A489" t="s">
        <v>347</v>
      </c>
      <c r="B489" t="s">
        <v>156</v>
      </c>
      <c r="C489" s="1" t="d">
        <v>2018-02-01</v>
      </c>
      <c r="D489">
        <v>1</v>
      </c>
      <c r="E489">
        <v>78</v>
      </c>
      <c r="F489">
        <v>78</v>
      </c>
      <c r="G489" s="2" t="s">
        <v>47</v>
      </c>
      <c r="H489" s="2" t="s">
        <v>350</v>
      </c>
      <c r="I489">
        <v>20</v>
      </c>
      <c r="J489">
        <v>8</v>
      </c>
      <c r="K489">
        <v>2</v>
      </c>
      <c r="L489">
        <f t="shared" si="14"/>
        <v>0</v>
      </c>
      <c r="M489">
        <f t="shared" si="15"/>
        <v>4.3567088266895917</v>
      </c>
    </row>
    <row r="490" spans="1:13" x14ac:dyDescent="0.2">
      <c r="A490" t="s">
        <v>347</v>
      </c>
      <c r="B490" t="s">
        <v>156</v>
      </c>
      <c r="C490" s="1" t="d">
        <v>2018-03-01</v>
      </c>
      <c r="D490">
        <v>1</v>
      </c>
      <c r="E490">
        <v>78</v>
      </c>
      <c r="F490">
        <v>78</v>
      </c>
      <c r="G490" s="2" t="s">
        <v>47</v>
      </c>
      <c r="H490" s="2" t="s">
        <v>350</v>
      </c>
      <c r="I490">
        <v>22</v>
      </c>
      <c r="J490">
        <v>9</v>
      </c>
      <c r="K490">
        <v>1</v>
      </c>
      <c r="L490">
        <f t="shared" si="14"/>
        <v>0</v>
      </c>
      <c r="M490">
        <f t="shared" si="15"/>
        <v>4.3567088266895917</v>
      </c>
    </row>
    <row r="491" spans="1:13" x14ac:dyDescent="0.2">
      <c r="A491" t="s">
        <v>347</v>
      </c>
      <c r="B491" t="s">
        <v>156</v>
      </c>
      <c r="C491" s="1" t="d">
        <v>2018-04-01</v>
      </c>
      <c r="D491">
        <v>16</v>
      </c>
      <c r="E491">
        <v>78</v>
      </c>
      <c r="F491">
        <v>1248</v>
      </c>
      <c r="G491" s="2" t="s">
        <v>47</v>
      </c>
      <c r="H491" s="2" t="s">
        <v>350</v>
      </c>
      <c r="I491">
        <v>21</v>
      </c>
      <c r="J491">
        <v>9</v>
      </c>
      <c r="K491">
        <v>1</v>
      </c>
      <c r="L491">
        <f t="shared" si="14"/>
        <v>2.7725887222397811</v>
      </c>
      <c r="M491">
        <f t="shared" si="15"/>
        <v>4.3567088266895917</v>
      </c>
    </row>
    <row r="492" spans="1:13" x14ac:dyDescent="0.2">
      <c r="A492" t="s">
        <v>347</v>
      </c>
      <c r="B492" t="s">
        <v>156</v>
      </c>
      <c r="C492" s="1" t="d">
        <v>2018-05-01</v>
      </c>
      <c r="D492">
        <v>5</v>
      </c>
      <c r="E492">
        <v>78</v>
      </c>
      <c r="F492">
        <v>390</v>
      </c>
      <c r="G492" s="2" t="s">
        <v>47</v>
      </c>
      <c r="H492" s="2" t="s">
        <v>350</v>
      </c>
      <c r="I492">
        <v>23</v>
      </c>
      <c r="J492">
        <v>8</v>
      </c>
      <c r="K492">
        <v>3</v>
      </c>
      <c r="L492">
        <f t="shared" si="14"/>
        <v>1.6094379124341003</v>
      </c>
      <c r="M492">
        <f t="shared" si="15"/>
        <v>4.3567088266895917</v>
      </c>
    </row>
    <row r="493" spans="1:13" x14ac:dyDescent="0.2">
      <c r="A493" t="s">
        <v>347</v>
      </c>
      <c r="B493" t="s">
        <v>156</v>
      </c>
      <c r="C493" s="1" t="d">
        <v>2018-06-01</v>
      </c>
      <c r="D493">
        <v>39</v>
      </c>
      <c r="E493">
        <v>78</v>
      </c>
      <c r="F493">
        <v>3042</v>
      </c>
      <c r="G493" s="2" t="s">
        <v>47</v>
      </c>
      <c r="H493" s="2" t="s">
        <v>350</v>
      </c>
      <c r="I493">
        <v>21</v>
      </c>
      <c r="J493">
        <v>9</v>
      </c>
      <c r="K493">
        <v>0</v>
      </c>
      <c r="L493">
        <f t="shared" si="14"/>
        <v>3.6635616461296463</v>
      </c>
      <c r="M493">
        <f t="shared" si="15"/>
        <v>4.3567088266895917</v>
      </c>
    </row>
    <row r="494" spans="1:13" x14ac:dyDescent="0.2">
      <c r="A494" t="s">
        <v>347</v>
      </c>
      <c r="B494" t="s">
        <v>156</v>
      </c>
      <c r="C494" s="1" t="d">
        <v>2018-07-01</v>
      </c>
      <c r="D494">
        <v>40</v>
      </c>
      <c r="E494">
        <v>78</v>
      </c>
      <c r="F494">
        <v>3120</v>
      </c>
      <c r="G494" s="2" t="s">
        <v>47</v>
      </c>
      <c r="H494" s="2" t="s">
        <v>350</v>
      </c>
      <c r="I494">
        <v>22</v>
      </c>
      <c r="J494">
        <v>9</v>
      </c>
      <c r="K494">
        <v>1</v>
      </c>
      <c r="L494">
        <f t="shared" si="14"/>
        <v>3.6888794541139363</v>
      </c>
      <c r="M494">
        <f t="shared" si="15"/>
        <v>4.3567088266895917</v>
      </c>
    </row>
    <row r="495" spans="1:13" x14ac:dyDescent="0.2">
      <c r="A495" t="s">
        <v>347</v>
      </c>
      <c r="B495" t="s">
        <v>156</v>
      </c>
      <c r="C495" s="1" t="d">
        <v>2018-08-01</v>
      </c>
      <c r="D495">
        <v>28</v>
      </c>
      <c r="E495">
        <v>77.821428569999995</v>
      </c>
      <c r="F495">
        <v>2178.99999996</v>
      </c>
      <c r="G495" s="2" t="s">
        <v>47</v>
      </c>
      <c r="H495">
        <v>18.827764976612901</v>
      </c>
      <c r="I495">
        <v>23</v>
      </c>
      <c r="J495">
        <v>8</v>
      </c>
      <c r="K495">
        <v>1</v>
      </c>
      <c r="L495">
        <f t="shared" si="14"/>
        <v>3.3322045101752038</v>
      </c>
      <c r="M495">
        <f t="shared" si="15"/>
        <v>4.3544168247510591</v>
      </c>
    </row>
    <row r="496" spans="1:13" x14ac:dyDescent="0.2">
      <c r="A496" t="s">
        <v>351</v>
      </c>
      <c r="B496" t="s">
        <v>264</v>
      </c>
      <c r="C496" s="1" t="d">
        <v>2017-07-01</v>
      </c>
      <c r="D496">
        <v>5</v>
      </c>
      <c r="E496">
        <v>75</v>
      </c>
      <c r="F496">
        <v>375</v>
      </c>
      <c r="G496" s="2" t="s">
        <v>240</v>
      </c>
      <c r="H496" s="2" t="s">
        <v>352</v>
      </c>
      <c r="I496">
        <v>21</v>
      </c>
      <c r="J496">
        <v>10</v>
      </c>
      <c r="K496">
        <v>1</v>
      </c>
      <c r="L496">
        <f t="shared" si="14"/>
        <v>1.6094379124341003</v>
      </c>
      <c r="M496">
        <f t="shared" si="15"/>
        <v>4.3174881135363101</v>
      </c>
    </row>
    <row r="497" spans="1:13" x14ac:dyDescent="0.2">
      <c r="A497" t="s">
        <v>351</v>
      </c>
      <c r="B497" t="s">
        <v>264</v>
      </c>
      <c r="C497" s="1" t="d">
        <v>2017-08-01</v>
      </c>
      <c r="D497">
        <v>13</v>
      </c>
      <c r="E497">
        <v>75</v>
      </c>
      <c r="F497">
        <v>975</v>
      </c>
      <c r="G497" s="2" t="s">
        <v>240</v>
      </c>
      <c r="H497" s="2" t="s">
        <v>352</v>
      </c>
      <c r="I497">
        <v>23</v>
      </c>
      <c r="J497">
        <v>8</v>
      </c>
      <c r="K497">
        <v>1</v>
      </c>
      <c r="L497">
        <f t="shared" si="14"/>
        <v>2.5649493574615367</v>
      </c>
      <c r="M497">
        <f t="shared" si="15"/>
        <v>4.3174881135363101</v>
      </c>
    </row>
    <row r="498" spans="1:13" x14ac:dyDescent="0.2">
      <c r="A498" t="s">
        <v>351</v>
      </c>
      <c r="B498" t="s">
        <v>264</v>
      </c>
      <c r="C498" s="1" t="d">
        <v>2017-10-01</v>
      </c>
      <c r="D498">
        <v>5</v>
      </c>
      <c r="E498">
        <v>75</v>
      </c>
      <c r="F498">
        <v>375</v>
      </c>
      <c r="G498" s="2" t="s">
        <v>240</v>
      </c>
      <c r="H498" s="2" t="s">
        <v>352</v>
      </c>
      <c r="I498">
        <v>22</v>
      </c>
      <c r="J498">
        <v>9</v>
      </c>
      <c r="K498">
        <v>2</v>
      </c>
      <c r="L498">
        <f t="shared" si="14"/>
        <v>1.6094379124341003</v>
      </c>
      <c r="M498">
        <f t="shared" si="15"/>
        <v>4.3174881135363101</v>
      </c>
    </row>
    <row r="499" spans="1:13" x14ac:dyDescent="0.2">
      <c r="A499" t="s">
        <v>351</v>
      </c>
      <c r="B499" t="s">
        <v>264</v>
      </c>
      <c r="C499" s="1" t="d">
        <v>2017-11-01</v>
      </c>
      <c r="D499">
        <v>44</v>
      </c>
      <c r="E499">
        <v>75</v>
      </c>
      <c r="F499">
        <v>3300</v>
      </c>
      <c r="G499" s="2" t="s">
        <v>240</v>
      </c>
      <c r="H499" s="2" t="s">
        <v>352</v>
      </c>
      <c r="I499">
        <v>22</v>
      </c>
      <c r="J499">
        <v>8</v>
      </c>
      <c r="K499">
        <v>4</v>
      </c>
      <c r="L499">
        <f t="shared" si="14"/>
        <v>3.784189633918261</v>
      </c>
      <c r="M499">
        <f t="shared" si="15"/>
        <v>4.3174881135363101</v>
      </c>
    </row>
    <row r="500" spans="1:13" x14ac:dyDescent="0.2">
      <c r="A500" t="s">
        <v>351</v>
      </c>
      <c r="B500" t="s">
        <v>264</v>
      </c>
      <c r="C500" s="1" t="d">
        <v>2017-12-01</v>
      </c>
      <c r="D500">
        <v>47</v>
      </c>
      <c r="E500">
        <v>75</v>
      </c>
      <c r="F500">
        <v>3525</v>
      </c>
      <c r="G500" s="2" t="s">
        <v>27</v>
      </c>
      <c r="H500" s="2" t="s">
        <v>353</v>
      </c>
      <c r="I500">
        <v>21</v>
      </c>
      <c r="J500">
        <v>10</v>
      </c>
      <c r="K500">
        <v>1</v>
      </c>
      <c r="L500">
        <f t="shared" si="14"/>
        <v>3.8501476017100584</v>
      </c>
      <c r="M500">
        <f t="shared" si="15"/>
        <v>4.3174881135363101</v>
      </c>
    </row>
    <row r="501" spans="1:13" x14ac:dyDescent="0.2">
      <c r="A501" t="s">
        <v>351</v>
      </c>
      <c r="B501" t="s">
        <v>264</v>
      </c>
      <c r="C501" s="1" t="d">
        <v>2018-01-01</v>
      </c>
      <c r="D501">
        <v>122</v>
      </c>
      <c r="E501">
        <v>69.995327099999997</v>
      </c>
      <c r="F501">
        <v>8539.4299061999991</v>
      </c>
      <c r="G501" s="2" t="s">
        <v>240</v>
      </c>
      <c r="H501" s="2" t="s">
        <v>354</v>
      </c>
      <c r="I501">
        <v>23</v>
      </c>
      <c r="J501">
        <v>8</v>
      </c>
      <c r="K501">
        <v>2</v>
      </c>
      <c r="L501">
        <f t="shared" si="14"/>
        <v>4.8040210447332568</v>
      </c>
      <c r="M501">
        <f t="shared" si="15"/>
        <v>4.2484284841068112</v>
      </c>
    </row>
    <row r="502" spans="1:13" x14ac:dyDescent="0.2">
      <c r="A502" t="s">
        <v>351</v>
      </c>
      <c r="B502" t="s">
        <v>264</v>
      </c>
      <c r="C502" s="1" t="d">
        <v>2018-02-01</v>
      </c>
      <c r="D502">
        <v>44</v>
      </c>
      <c r="E502">
        <v>69.900000000000006</v>
      </c>
      <c r="F502" s="2" t="s">
        <v>355</v>
      </c>
      <c r="G502" s="2" t="s">
        <v>240</v>
      </c>
      <c r="H502" s="2" t="s">
        <v>356</v>
      </c>
      <c r="I502">
        <v>20</v>
      </c>
      <c r="J502">
        <v>8</v>
      </c>
      <c r="K502">
        <v>2</v>
      </c>
      <c r="L502">
        <f t="shared" si="14"/>
        <v>3.784189633918261</v>
      </c>
      <c r="M502">
        <f t="shared" si="15"/>
        <v>4.2470656492397643</v>
      </c>
    </row>
    <row r="503" spans="1:13" x14ac:dyDescent="0.2">
      <c r="A503" t="s">
        <v>351</v>
      </c>
      <c r="B503" t="s">
        <v>264</v>
      </c>
      <c r="C503" s="1" t="d">
        <v>2018-03-01</v>
      </c>
      <c r="D503">
        <v>65</v>
      </c>
      <c r="E503">
        <v>69.900000000000006</v>
      </c>
      <c r="F503">
        <v>4543.5</v>
      </c>
      <c r="G503" s="2" t="s">
        <v>240</v>
      </c>
      <c r="H503" s="2" t="s">
        <v>356</v>
      </c>
      <c r="I503">
        <v>22</v>
      </c>
      <c r="J503">
        <v>9</v>
      </c>
      <c r="K503">
        <v>1</v>
      </c>
      <c r="L503">
        <f t="shared" si="14"/>
        <v>4.1743872698956368</v>
      </c>
      <c r="M503">
        <f t="shared" si="15"/>
        <v>4.2470656492397643</v>
      </c>
    </row>
    <row r="504" spans="1:13" x14ac:dyDescent="0.2">
      <c r="A504" t="s">
        <v>351</v>
      </c>
      <c r="B504" t="s">
        <v>264</v>
      </c>
      <c r="C504" s="1" t="d">
        <v>2018-04-01</v>
      </c>
      <c r="D504">
        <v>83</v>
      </c>
      <c r="E504">
        <v>69.900000000000006</v>
      </c>
      <c r="F504" s="2" t="s">
        <v>357</v>
      </c>
      <c r="G504" s="2" t="s">
        <v>240</v>
      </c>
      <c r="H504" s="2" t="s">
        <v>356</v>
      </c>
      <c r="I504">
        <v>21</v>
      </c>
      <c r="J504">
        <v>9</v>
      </c>
      <c r="K504">
        <v>1</v>
      </c>
      <c r="L504">
        <f t="shared" si="14"/>
        <v>4.4188406077965983</v>
      </c>
      <c r="M504">
        <f t="shared" si="15"/>
        <v>4.2470656492397643</v>
      </c>
    </row>
    <row r="505" spans="1:13" x14ac:dyDescent="0.2">
      <c r="A505" t="s">
        <v>351</v>
      </c>
      <c r="B505" t="s">
        <v>264</v>
      </c>
      <c r="C505" s="1" t="d">
        <v>2018-05-01</v>
      </c>
      <c r="D505">
        <v>92</v>
      </c>
      <c r="E505">
        <v>69.900000000000006</v>
      </c>
      <c r="F505">
        <v>6430.8</v>
      </c>
      <c r="G505" s="2" t="s">
        <v>240</v>
      </c>
      <c r="H505" s="2" t="s">
        <v>356</v>
      </c>
      <c r="I505">
        <v>23</v>
      </c>
      <c r="J505">
        <v>8</v>
      </c>
      <c r="K505">
        <v>3</v>
      </c>
      <c r="L505">
        <f t="shared" si="14"/>
        <v>4.5217885770490405</v>
      </c>
      <c r="M505">
        <f t="shared" si="15"/>
        <v>4.2470656492397643</v>
      </c>
    </row>
    <row r="506" spans="1:13" x14ac:dyDescent="0.2">
      <c r="A506" t="s">
        <v>351</v>
      </c>
      <c r="B506" t="s">
        <v>264</v>
      </c>
      <c r="C506" s="1" t="d">
        <v>2018-06-01</v>
      </c>
      <c r="D506">
        <v>2</v>
      </c>
      <c r="E506">
        <v>89.9</v>
      </c>
      <c r="F506">
        <v>179.8</v>
      </c>
      <c r="G506" s="2" t="s">
        <v>240</v>
      </c>
      <c r="H506" s="2" t="s">
        <v>315</v>
      </c>
      <c r="I506">
        <v>21</v>
      </c>
      <c r="J506">
        <v>9</v>
      </c>
      <c r="K506">
        <v>0</v>
      </c>
      <c r="L506">
        <f t="shared" si="14"/>
        <v>0.69314718055994529</v>
      </c>
      <c r="M506">
        <f t="shared" si="15"/>
        <v>4.498697941477575</v>
      </c>
    </row>
    <row r="507" spans="1:13" x14ac:dyDescent="0.2">
      <c r="A507" t="s">
        <v>351</v>
      </c>
      <c r="B507" t="s">
        <v>264</v>
      </c>
      <c r="C507" s="1" t="d">
        <v>2018-07-01</v>
      </c>
      <c r="D507">
        <v>2</v>
      </c>
      <c r="E507">
        <v>89.9</v>
      </c>
      <c r="F507">
        <v>179.8</v>
      </c>
      <c r="G507" s="2" t="s">
        <v>240</v>
      </c>
      <c r="H507" s="2" t="s">
        <v>315</v>
      </c>
      <c r="I507">
        <v>22</v>
      </c>
      <c r="J507">
        <v>9</v>
      </c>
      <c r="K507">
        <v>1</v>
      </c>
      <c r="L507">
        <f t="shared" si="14"/>
        <v>0.69314718055994529</v>
      </c>
      <c r="M507">
        <f t="shared" si="15"/>
        <v>4.498697941477575</v>
      </c>
    </row>
    <row r="508" spans="1:13" x14ac:dyDescent="0.2">
      <c r="A508" t="s">
        <v>351</v>
      </c>
      <c r="B508" t="s">
        <v>264</v>
      </c>
      <c r="C508" s="1" t="d">
        <v>2018-08-01</v>
      </c>
      <c r="D508">
        <v>3</v>
      </c>
      <c r="E508">
        <v>103.2333333</v>
      </c>
      <c r="F508" s="2" t="s">
        <v>358</v>
      </c>
      <c r="G508" s="2" t="s">
        <v>240</v>
      </c>
      <c r="H508" s="2" t="s">
        <v>359</v>
      </c>
      <c r="I508">
        <v>23</v>
      </c>
      <c r="J508">
        <v>8</v>
      </c>
      <c r="K508">
        <v>1</v>
      </c>
      <c r="L508">
        <f t="shared" si="14"/>
        <v>1.0986122886681098</v>
      </c>
      <c r="M508">
        <f t="shared" si="15"/>
        <v>4.6369917979881539</v>
      </c>
    </row>
    <row r="509" spans="1:13" x14ac:dyDescent="0.2">
      <c r="A509" t="s">
        <v>360</v>
      </c>
      <c r="B509" t="s">
        <v>25</v>
      </c>
      <c r="C509" s="1" t="d">
        <v>2017-04-01</v>
      </c>
      <c r="D509">
        <v>5</v>
      </c>
      <c r="E509">
        <v>59.9</v>
      </c>
      <c r="F509">
        <v>299.5</v>
      </c>
      <c r="G509">
        <v>4.2</v>
      </c>
      <c r="H509" s="2" t="s">
        <v>361</v>
      </c>
      <c r="I509">
        <v>20</v>
      </c>
      <c r="J509">
        <v>10</v>
      </c>
      <c r="K509">
        <v>2</v>
      </c>
      <c r="L509">
        <f t="shared" si="14"/>
        <v>1.6094379124341003</v>
      </c>
      <c r="M509">
        <f t="shared" si="15"/>
        <v>4.0926765051214034</v>
      </c>
    </row>
    <row r="510" spans="1:13" x14ac:dyDescent="0.2">
      <c r="A510" t="s">
        <v>360</v>
      </c>
      <c r="B510" t="s">
        <v>25</v>
      </c>
      <c r="C510" s="1" t="d">
        <v>2017-05-01</v>
      </c>
      <c r="D510">
        <v>2</v>
      </c>
      <c r="E510">
        <v>59.9</v>
      </c>
      <c r="F510">
        <v>119.8</v>
      </c>
      <c r="G510" s="2" t="s">
        <v>13</v>
      </c>
      <c r="H510" s="2" t="s">
        <v>51</v>
      </c>
      <c r="I510">
        <v>23</v>
      </c>
      <c r="J510">
        <v>8</v>
      </c>
      <c r="K510">
        <v>1</v>
      </c>
      <c r="L510">
        <f t="shared" si="14"/>
        <v>0.69314718055994529</v>
      </c>
      <c r="M510">
        <f t="shared" si="15"/>
        <v>4.0926765051214034</v>
      </c>
    </row>
    <row r="511" spans="1:13" x14ac:dyDescent="0.2">
      <c r="A511" t="s">
        <v>360</v>
      </c>
      <c r="B511" t="s">
        <v>25</v>
      </c>
      <c r="C511" s="1" t="d">
        <v>2017-06-01</v>
      </c>
      <c r="D511">
        <v>5</v>
      </c>
      <c r="E511">
        <v>59.9</v>
      </c>
      <c r="F511">
        <v>299.5</v>
      </c>
      <c r="G511" s="2" t="s">
        <v>13</v>
      </c>
      <c r="H511" s="2" t="s">
        <v>51</v>
      </c>
      <c r="I511">
        <v>22</v>
      </c>
      <c r="J511">
        <v>8</v>
      </c>
      <c r="K511">
        <v>1</v>
      </c>
      <c r="L511">
        <f t="shared" si="14"/>
        <v>1.6094379124341003</v>
      </c>
      <c r="M511">
        <f t="shared" si="15"/>
        <v>4.0926765051214034</v>
      </c>
    </row>
    <row r="512" spans="1:13" x14ac:dyDescent="0.2">
      <c r="A512" t="s">
        <v>360</v>
      </c>
      <c r="B512" t="s">
        <v>25</v>
      </c>
      <c r="C512" s="1" t="d">
        <v>2017-07-01</v>
      </c>
      <c r="D512">
        <v>15</v>
      </c>
      <c r="E512">
        <v>59.9</v>
      </c>
      <c r="F512">
        <v>898.5</v>
      </c>
      <c r="G512" s="2" t="s">
        <v>13</v>
      </c>
      <c r="H512" s="2" t="s">
        <v>51</v>
      </c>
      <c r="I512">
        <v>21</v>
      </c>
      <c r="J512">
        <v>10</v>
      </c>
      <c r="K512">
        <v>1</v>
      </c>
      <c r="L512">
        <f t="shared" si="14"/>
        <v>2.7080502011022101</v>
      </c>
      <c r="M512">
        <f t="shared" si="15"/>
        <v>4.0926765051214034</v>
      </c>
    </row>
    <row r="513" spans="1:13" x14ac:dyDescent="0.2">
      <c r="A513" t="s">
        <v>360</v>
      </c>
      <c r="B513" t="s">
        <v>25</v>
      </c>
      <c r="C513" s="1" t="d">
        <v>2017-08-01</v>
      </c>
      <c r="D513">
        <v>19</v>
      </c>
      <c r="E513">
        <v>59.9</v>
      </c>
      <c r="F513">
        <v>1138.0999999999999</v>
      </c>
      <c r="G513" s="2" t="s">
        <v>13</v>
      </c>
      <c r="H513" s="2" t="s">
        <v>51</v>
      </c>
      <c r="I513">
        <v>23</v>
      </c>
      <c r="J513">
        <v>8</v>
      </c>
      <c r="K513">
        <v>1</v>
      </c>
      <c r="L513">
        <f t="shared" si="14"/>
        <v>2.9444389791664403</v>
      </c>
      <c r="M513">
        <f t="shared" si="15"/>
        <v>4.0926765051214034</v>
      </c>
    </row>
    <row r="514" spans="1:13" x14ac:dyDescent="0.2">
      <c r="A514" t="s">
        <v>360</v>
      </c>
      <c r="B514" t="s">
        <v>25</v>
      </c>
      <c r="C514" s="1" t="d">
        <v>2017-09-01</v>
      </c>
      <c r="D514">
        <v>34</v>
      </c>
      <c r="E514">
        <v>59.9</v>
      </c>
      <c r="F514">
        <v>2036.6</v>
      </c>
      <c r="G514" s="2" t="s">
        <v>13</v>
      </c>
      <c r="H514" s="2" t="s">
        <v>51</v>
      </c>
      <c r="I514">
        <v>21</v>
      </c>
      <c r="J514">
        <v>9</v>
      </c>
      <c r="K514">
        <v>1</v>
      </c>
      <c r="L514">
        <f t="shared" si="14"/>
        <v>3.5263605246161616</v>
      </c>
      <c r="M514">
        <f t="shared" si="15"/>
        <v>4.0926765051214034</v>
      </c>
    </row>
    <row r="515" spans="1:13" x14ac:dyDescent="0.2">
      <c r="A515" t="s">
        <v>360</v>
      </c>
      <c r="B515" t="s">
        <v>25</v>
      </c>
      <c r="C515" s="1" t="d">
        <v>2017-10-01</v>
      </c>
      <c r="D515">
        <v>13</v>
      </c>
      <c r="E515">
        <v>59.9</v>
      </c>
      <c r="F515" s="2" t="s">
        <v>105</v>
      </c>
      <c r="G515" s="2" t="s">
        <v>13</v>
      </c>
      <c r="H515" s="2" t="s">
        <v>51</v>
      </c>
      <c r="I515">
        <v>22</v>
      </c>
      <c r="J515">
        <v>9</v>
      </c>
      <c r="K515">
        <v>2</v>
      </c>
      <c r="L515">
        <f t="shared" ref="L515:L578" si="16">IF(D515&gt;0, LN(D515), "")</f>
        <v>2.5649493574615367</v>
      </c>
      <c r="M515">
        <f t="shared" ref="M515:M578" si="17">LN(E515)</f>
        <v>4.0926765051214034</v>
      </c>
    </row>
    <row r="516" spans="1:13" x14ac:dyDescent="0.2">
      <c r="A516" t="s">
        <v>360</v>
      </c>
      <c r="B516" t="s">
        <v>25</v>
      </c>
      <c r="C516" s="1" t="d">
        <v>2017-11-01</v>
      </c>
      <c r="D516">
        <v>9</v>
      </c>
      <c r="E516">
        <v>54.45</v>
      </c>
      <c r="F516">
        <v>490.05</v>
      </c>
      <c r="G516" s="2" t="s">
        <v>13</v>
      </c>
      <c r="H516" s="2" t="s">
        <v>362</v>
      </c>
      <c r="I516">
        <v>22</v>
      </c>
      <c r="J516">
        <v>8</v>
      </c>
      <c r="K516">
        <v>4</v>
      </c>
      <c r="L516">
        <f t="shared" si="16"/>
        <v>2.1972245773362196</v>
      </c>
      <c r="M516">
        <f t="shared" si="17"/>
        <v>3.9972828493789696</v>
      </c>
    </row>
    <row r="517" spans="1:13" x14ac:dyDescent="0.2">
      <c r="A517" t="s">
        <v>360</v>
      </c>
      <c r="B517" t="s">
        <v>25</v>
      </c>
      <c r="C517" s="1" t="d">
        <v>2017-12-01</v>
      </c>
      <c r="D517">
        <v>1</v>
      </c>
      <c r="E517">
        <v>49.9</v>
      </c>
      <c r="F517">
        <v>49.9</v>
      </c>
      <c r="G517" s="2" t="s">
        <v>13</v>
      </c>
      <c r="H517" s="2" t="s">
        <v>54</v>
      </c>
      <c r="I517">
        <v>21</v>
      </c>
      <c r="J517">
        <v>10</v>
      </c>
      <c r="K517">
        <v>1</v>
      </c>
      <c r="L517">
        <f t="shared" si="16"/>
        <v>0</v>
      </c>
      <c r="M517">
        <f t="shared" si="17"/>
        <v>3.9100210027574729</v>
      </c>
    </row>
    <row r="518" spans="1:13" x14ac:dyDescent="0.2">
      <c r="A518" t="s">
        <v>360</v>
      </c>
      <c r="B518" t="s">
        <v>25</v>
      </c>
      <c r="C518" s="1" t="d">
        <v>2018-01-01</v>
      </c>
      <c r="D518">
        <v>1</v>
      </c>
      <c r="E518">
        <v>49.9</v>
      </c>
      <c r="F518">
        <v>49.9</v>
      </c>
      <c r="G518" s="2" t="s">
        <v>13</v>
      </c>
      <c r="H518" s="2" t="s">
        <v>54</v>
      </c>
      <c r="I518">
        <v>23</v>
      </c>
      <c r="J518">
        <v>8</v>
      </c>
      <c r="K518">
        <v>2</v>
      </c>
      <c r="L518">
        <f t="shared" si="16"/>
        <v>0</v>
      </c>
      <c r="M518">
        <f t="shared" si="17"/>
        <v>3.9100210027574729</v>
      </c>
    </row>
    <row r="519" spans="1:13" x14ac:dyDescent="0.2">
      <c r="A519" t="s">
        <v>360</v>
      </c>
      <c r="B519" t="s">
        <v>25</v>
      </c>
      <c r="C519" s="1" t="d">
        <v>2018-02-01</v>
      </c>
      <c r="D519">
        <v>4</v>
      </c>
      <c r="E519">
        <v>51.233333330000001</v>
      </c>
      <c r="F519">
        <v>204.93333332</v>
      </c>
      <c r="G519" s="2" t="s">
        <v>13</v>
      </c>
      <c r="H519" s="2" t="s">
        <v>363</v>
      </c>
      <c r="I519">
        <v>20</v>
      </c>
      <c r="J519">
        <v>8</v>
      </c>
      <c r="K519">
        <v>2</v>
      </c>
      <c r="L519">
        <f t="shared" si="16"/>
        <v>1.3862943611198906</v>
      </c>
      <c r="M519">
        <f t="shared" si="17"/>
        <v>3.9363903618113785</v>
      </c>
    </row>
    <row r="520" spans="1:13" x14ac:dyDescent="0.2">
      <c r="A520" t="s">
        <v>360</v>
      </c>
      <c r="B520" t="s">
        <v>25</v>
      </c>
      <c r="C520" s="1" t="d">
        <v>2018-03-01</v>
      </c>
      <c r="D520">
        <v>2</v>
      </c>
      <c r="E520">
        <v>53.9</v>
      </c>
      <c r="F520">
        <v>107.8</v>
      </c>
      <c r="G520" s="2" t="s">
        <v>13</v>
      </c>
      <c r="H520" s="2" t="s">
        <v>56</v>
      </c>
      <c r="I520">
        <v>22</v>
      </c>
      <c r="J520">
        <v>9</v>
      </c>
      <c r="K520">
        <v>1</v>
      </c>
      <c r="L520">
        <f t="shared" si="16"/>
        <v>0.69314718055994529</v>
      </c>
      <c r="M520">
        <f t="shared" si="17"/>
        <v>3.9871304779149512</v>
      </c>
    </row>
    <row r="521" spans="1:13" x14ac:dyDescent="0.2">
      <c r="A521" t="s">
        <v>360</v>
      </c>
      <c r="B521" t="s">
        <v>25</v>
      </c>
      <c r="C521" s="1" t="d">
        <v>2018-04-01</v>
      </c>
      <c r="D521">
        <v>2</v>
      </c>
      <c r="E521">
        <v>53.9</v>
      </c>
      <c r="F521">
        <v>107.8</v>
      </c>
      <c r="G521" s="2" t="s">
        <v>13</v>
      </c>
      <c r="H521" s="2" t="s">
        <v>56</v>
      </c>
      <c r="I521">
        <v>21</v>
      </c>
      <c r="J521">
        <v>9</v>
      </c>
      <c r="K521">
        <v>1</v>
      </c>
      <c r="L521">
        <f t="shared" si="16"/>
        <v>0.69314718055994529</v>
      </c>
      <c r="M521">
        <f t="shared" si="17"/>
        <v>3.9871304779149512</v>
      </c>
    </row>
    <row r="522" spans="1:13" x14ac:dyDescent="0.2">
      <c r="A522" t="s">
        <v>360</v>
      </c>
      <c r="B522" t="s">
        <v>25</v>
      </c>
      <c r="C522" s="1" t="d">
        <v>2018-05-01</v>
      </c>
      <c r="D522">
        <v>4</v>
      </c>
      <c r="E522">
        <v>49.9</v>
      </c>
      <c r="F522">
        <v>199.6</v>
      </c>
      <c r="G522" s="2" t="s">
        <v>13</v>
      </c>
      <c r="H522" s="2" t="s">
        <v>54</v>
      </c>
      <c r="I522">
        <v>23</v>
      </c>
      <c r="J522">
        <v>8</v>
      </c>
      <c r="K522">
        <v>3</v>
      </c>
      <c r="L522">
        <f t="shared" si="16"/>
        <v>1.3862943611198906</v>
      </c>
      <c r="M522">
        <f t="shared" si="17"/>
        <v>3.9100210027574729</v>
      </c>
    </row>
    <row r="523" spans="1:13" x14ac:dyDescent="0.2">
      <c r="A523" t="s">
        <v>360</v>
      </c>
      <c r="B523" t="s">
        <v>25</v>
      </c>
      <c r="C523" s="1" t="d">
        <v>2018-06-01</v>
      </c>
      <c r="D523">
        <v>5</v>
      </c>
      <c r="E523">
        <v>49.9</v>
      </c>
      <c r="F523">
        <v>249.5</v>
      </c>
      <c r="G523" s="2" t="s">
        <v>13</v>
      </c>
      <c r="H523" s="2" t="s">
        <v>54</v>
      </c>
      <c r="I523">
        <v>21</v>
      </c>
      <c r="J523">
        <v>9</v>
      </c>
      <c r="K523">
        <v>0</v>
      </c>
      <c r="L523">
        <f t="shared" si="16"/>
        <v>1.6094379124341003</v>
      </c>
      <c r="M523">
        <f t="shared" si="17"/>
        <v>3.9100210027574729</v>
      </c>
    </row>
    <row r="524" spans="1:13" x14ac:dyDescent="0.2">
      <c r="A524" t="s">
        <v>360</v>
      </c>
      <c r="B524" t="s">
        <v>25</v>
      </c>
      <c r="C524" s="1" t="d">
        <v>2018-07-01</v>
      </c>
      <c r="D524">
        <v>3</v>
      </c>
      <c r="E524">
        <v>49.9</v>
      </c>
      <c r="F524">
        <v>149.69999999999999</v>
      </c>
      <c r="G524" s="2" t="s">
        <v>13</v>
      </c>
      <c r="H524" s="2" t="s">
        <v>54</v>
      </c>
      <c r="I524">
        <v>22</v>
      </c>
      <c r="J524">
        <v>9</v>
      </c>
      <c r="K524">
        <v>1</v>
      </c>
      <c r="L524">
        <f t="shared" si="16"/>
        <v>1.0986122886681098</v>
      </c>
      <c r="M524">
        <f t="shared" si="17"/>
        <v>3.9100210027574729</v>
      </c>
    </row>
    <row r="525" spans="1:13" x14ac:dyDescent="0.2">
      <c r="A525" t="s">
        <v>360</v>
      </c>
      <c r="B525" t="s">
        <v>25</v>
      </c>
      <c r="C525" s="1" t="d">
        <v>2018-08-01</v>
      </c>
      <c r="D525">
        <v>3</v>
      </c>
      <c r="E525">
        <v>49.9</v>
      </c>
      <c r="F525">
        <v>149.69999999999999</v>
      </c>
      <c r="G525" s="2" t="s">
        <v>13</v>
      </c>
      <c r="H525" s="2" t="s">
        <v>54</v>
      </c>
      <c r="I525">
        <v>23</v>
      </c>
      <c r="J525">
        <v>8</v>
      </c>
      <c r="K525">
        <v>1</v>
      </c>
      <c r="L525">
        <f t="shared" si="16"/>
        <v>1.0986122886681098</v>
      </c>
      <c r="M525">
        <f t="shared" si="17"/>
        <v>3.9100210027574729</v>
      </c>
    </row>
    <row r="526" spans="1:13" x14ac:dyDescent="0.2">
      <c r="A526" t="s">
        <v>364</v>
      </c>
      <c r="B526" t="s">
        <v>264</v>
      </c>
      <c r="C526" s="1" t="d">
        <v>2017-07-01</v>
      </c>
      <c r="D526">
        <v>1</v>
      </c>
      <c r="E526">
        <v>38.4</v>
      </c>
      <c r="F526">
        <v>38.4</v>
      </c>
      <c r="G526" s="2" t="s">
        <v>240</v>
      </c>
      <c r="H526" s="2" t="s">
        <v>333</v>
      </c>
      <c r="I526">
        <v>21</v>
      </c>
      <c r="J526">
        <v>10</v>
      </c>
      <c r="K526">
        <v>1</v>
      </c>
      <c r="L526">
        <f t="shared" si="16"/>
        <v>0</v>
      </c>
      <c r="M526">
        <f t="shared" si="17"/>
        <v>3.648057459593681</v>
      </c>
    </row>
    <row r="527" spans="1:13" x14ac:dyDescent="0.2">
      <c r="A527" t="s">
        <v>364</v>
      </c>
      <c r="B527" t="s">
        <v>264</v>
      </c>
      <c r="C527" s="1" t="d">
        <v>2017-08-01</v>
      </c>
      <c r="D527">
        <v>8</v>
      </c>
      <c r="E527">
        <v>38.4</v>
      </c>
      <c r="F527">
        <v>307.2</v>
      </c>
      <c r="G527" s="2" t="s">
        <v>240</v>
      </c>
      <c r="H527" s="2" t="s">
        <v>333</v>
      </c>
      <c r="I527">
        <v>23</v>
      </c>
      <c r="J527">
        <v>8</v>
      </c>
      <c r="K527">
        <v>1</v>
      </c>
      <c r="L527">
        <f t="shared" si="16"/>
        <v>2.0794415416798357</v>
      </c>
      <c r="M527">
        <f t="shared" si="17"/>
        <v>3.648057459593681</v>
      </c>
    </row>
    <row r="528" spans="1:13" x14ac:dyDescent="0.2">
      <c r="A528" t="s">
        <v>364</v>
      </c>
      <c r="B528" t="s">
        <v>264</v>
      </c>
      <c r="C528" s="1" t="d">
        <v>2017-09-01</v>
      </c>
      <c r="D528">
        <v>12</v>
      </c>
      <c r="E528">
        <v>38.4</v>
      </c>
      <c r="F528" s="2" t="s">
        <v>365</v>
      </c>
      <c r="G528" s="2" t="s">
        <v>366</v>
      </c>
      <c r="H528" s="2" t="s">
        <v>367</v>
      </c>
      <c r="I528">
        <v>21</v>
      </c>
      <c r="J528">
        <v>9</v>
      </c>
      <c r="K528">
        <v>1</v>
      </c>
      <c r="L528">
        <f t="shared" si="16"/>
        <v>2.4849066497880004</v>
      </c>
      <c r="M528">
        <f t="shared" si="17"/>
        <v>3.648057459593681</v>
      </c>
    </row>
    <row r="529" spans="1:13" x14ac:dyDescent="0.2">
      <c r="A529" t="s">
        <v>364</v>
      </c>
      <c r="B529" t="s">
        <v>264</v>
      </c>
      <c r="C529" s="1" t="d">
        <v>2017-10-01</v>
      </c>
      <c r="D529">
        <v>25</v>
      </c>
      <c r="E529">
        <v>38.4</v>
      </c>
      <c r="F529">
        <v>960</v>
      </c>
      <c r="G529" s="2" t="s">
        <v>240</v>
      </c>
      <c r="H529" s="2" t="s">
        <v>333</v>
      </c>
      <c r="I529">
        <v>22</v>
      </c>
      <c r="J529">
        <v>9</v>
      </c>
      <c r="K529">
        <v>2</v>
      </c>
      <c r="L529">
        <f t="shared" si="16"/>
        <v>3.2188758248682006</v>
      </c>
      <c r="M529">
        <f t="shared" si="17"/>
        <v>3.648057459593681</v>
      </c>
    </row>
    <row r="530" spans="1:13" x14ac:dyDescent="0.2">
      <c r="A530" t="s">
        <v>364</v>
      </c>
      <c r="B530" t="s">
        <v>264</v>
      </c>
      <c r="C530" s="1" t="d">
        <v>2017-11-01</v>
      </c>
      <c r="D530">
        <v>28</v>
      </c>
      <c r="E530">
        <v>36.854285709999999</v>
      </c>
      <c r="F530">
        <v>1031.91999988</v>
      </c>
      <c r="G530" s="2" t="s">
        <v>240</v>
      </c>
      <c r="H530" s="2" t="s">
        <v>368</v>
      </c>
      <c r="I530">
        <v>22</v>
      </c>
      <c r="J530">
        <v>8</v>
      </c>
      <c r="K530">
        <v>4</v>
      </c>
      <c r="L530">
        <f t="shared" si="16"/>
        <v>3.3322045101752038</v>
      </c>
      <c r="M530">
        <f t="shared" si="17"/>
        <v>3.6069719133653888</v>
      </c>
    </row>
    <row r="531" spans="1:13" x14ac:dyDescent="0.2">
      <c r="A531" t="s">
        <v>364</v>
      </c>
      <c r="B531" t="s">
        <v>264</v>
      </c>
      <c r="C531" s="1" t="d">
        <v>2018-01-01</v>
      </c>
      <c r="D531">
        <v>2</v>
      </c>
      <c r="E531">
        <v>38.4</v>
      </c>
      <c r="F531">
        <v>76.8</v>
      </c>
      <c r="G531" s="2" t="s">
        <v>240</v>
      </c>
      <c r="H531" s="2" t="s">
        <v>333</v>
      </c>
      <c r="I531">
        <v>23</v>
      </c>
      <c r="J531">
        <v>8</v>
      </c>
      <c r="K531">
        <v>2</v>
      </c>
      <c r="L531">
        <f t="shared" si="16"/>
        <v>0.69314718055994529</v>
      </c>
      <c r="M531">
        <f t="shared" si="17"/>
        <v>3.648057459593681</v>
      </c>
    </row>
    <row r="532" spans="1:13" x14ac:dyDescent="0.2">
      <c r="A532" t="s">
        <v>364</v>
      </c>
      <c r="B532" t="s">
        <v>264</v>
      </c>
      <c r="C532" s="1" t="d">
        <v>2018-02-01</v>
      </c>
      <c r="D532">
        <v>9</v>
      </c>
      <c r="E532">
        <v>38.4</v>
      </c>
      <c r="F532" s="2" t="s">
        <v>369</v>
      </c>
      <c r="G532" s="2" t="s">
        <v>240</v>
      </c>
      <c r="H532" s="2" t="s">
        <v>333</v>
      </c>
      <c r="I532">
        <v>20</v>
      </c>
      <c r="J532">
        <v>8</v>
      </c>
      <c r="K532">
        <v>2</v>
      </c>
      <c r="L532">
        <f t="shared" si="16"/>
        <v>2.1972245773362196</v>
      </c>
      <c r="M532">
        <f t="shared" si="17"/>
        <v>3.648057459593681</v>
      </c>
    </row>
    <row r="533" spans="1:13" x14ac:dyDescent="0.2">
      <c r="A533" t="s">
        <v>364</v>
      </c>
      <c r="B533" t="s">
        <v>264</v>
      </c>
      <c r="C533" s="1" t="d">
        <v>2018-03-01</v>
      </c>
      <c r="D533">
        <v>17</v>
      </c>
      <c r="E533">
        <v>35.485714289999997</v>
      </c>
      <c r="F533">
        <v>603.25714292999999</v>
      </c>
      <c r="G533" s="2" t="s">
        <v>240</v>
      </c>
      <c r="H533" s="2" t="s">
        <v>341</v>
      </c>
      <c r="I533">
        <v>22</v>
      </c>
      <c r="J533">
        <v>9</v>
      </c>
      <c r="K533">
        <v>1</v>
      </c>
      <c r="L533">
        <f t="shared" si="16"/>
        <v>2.8332133440562162</v>
      </c>
      <c r="M533">
        <f t="shared" si="17"/>
        <v>3.5691302011247834</v>
      </c>
    </row>
    <row r="534" spans="1:13" x14ac:dyDescent="0.2">
      <c r="A534" t="s">
        <v>364</v>
      </c>
      <c r="B534" t="s">
        <v>264</v>
      </c>
      <c r="C534" s="1" t="d">
        <v>2018-04-01</v>
      </c>
      <c r="D534">
        <v>17</v>
      </c>
      <c r="E534">
        <v>35</v>
      </c>
      <c r="F534">
        <v>595</v>
      </c>
      <c r="G534" s="2" t="s">
        <v>240</v>
      </c>
      <c r="H534" s="2" t="s">
        <v>342</v>
      </c>
      <c r="I534">
        <v>21</v>
      </c>
      <c r="J534">
        <v>9</v>
      </c>
      <c r="K534">
        <v>1</v>
      </c>
      <c r="L534">
        <f t="shared" si="16"/>
        <v>2.8332133440562162</v>
      </c>
      <c r="M534">
        <f t="shared" si="17"/>
        <v>3.5553480614894135</v>
      </c>
    </row>
    <row r="535" spans="1:13" x14ac:dyDescent="0.2">
      <c r="A535" t="s">
        <v>364</v>
      </c>
      <c r="B535" t="s">
        <v>264</v>
      </c>
      <c r="C535" s="1" t="d">
        <v>2018-05-01</v>
      </c>
      <c r="D535">
        <v>11</v>
      </c>
      <c r="E535">
        <v>35</v>
      </c>
      <c r="F535">
        <v>385</v>
      </c>
      <c r="G535" s="2" t="s">
        <v>240</v>
      </c>
      <c r="H535" s="2" t="s">
        <v>342</v>
      </c>
      <c r="I535">
        <v>23</v>
      </c>
      <c r="J535">
        <v>8</v>
      </c>
      <c r="K535">
        <v>3</v>
      </c>
      <c r="L535">
        <f t="shared" si="16"/>
        <v>2.3978952727983707</v>
      </c>
      <c r="M535">
        <f t="shared" si="17"/>
        <v>3.5553480614894135</v>
      </c>
    </row>
    <row r="536" spans="1:13" x14ac:dyDescent="0.2">
      <c r="A536" t="s">
        <v>364</v>
      </c>
      <c r="B536" t="s">
        <v>264</v>
      </c>
      <c r="C536" s="1" t="d">
        <v>2018-06-01</v>
      </c>
      <c r="D536">
        <v>13</v>
      </c>
      <c r="E536">
        <v>35</v>
      </c>
      <c r="F536">
        <v>455</v>
      </c>
      <c r="G536" s="2" t="s">
        <v>240</v>
      </c>
      <c r="H536" s="2" t="s">
        <v>342</v>
      </c>
      <c r="I536">
        <v>21</v>
      </c>
      <c r="J536">
        <v>9</v>
      </c>
      <c r="K536">
        <v>0</v>
      </c>
      <c r="L536">
        <f t="shared" si="16"/>
        <v>2.5649493574615367</v>
      </c>
      <c r="M536">
        <f t="shared" si="17"/>
        <v>3.5553480614894135</v>
      </c>
    </row>
    <row r="537" spans="1:13" x14ac:dyDescent="0.2">
      <c r="A537" t="s">
        <v>364</v>
      </c>
      <c r="B537" t="s">
        <v>264</v>
      </c>
      <c r="C537" s="1" t="d">
        <v>2018-07-01</v>
      </c>
      <c r="D537">
        <v>10</v>
      </c>
      <c r="E537">
        <v>35</v>
      </c>
      <c r="F537">
        <v>350</v>
      </c>
      <c r="G537" s="2" t="s">
        <v>240</v>
      </c>
      <c r="H537" s="2" t="s">
        <v>342</v>
      </c>
      <c r="I537">
        <v>22</v>
      </c>
      <c r="J537">
        <v>9</v>
      </c>
      <c r="K537">
        <v>1</v>
      </c>
      <c r="L537">
        <f t="shared" si="16"/>
        <v>2.3025850929940459</v>
      </c>
      <c r="M537">
        <f t="shared" si="17"/>
        <v>3.5553480614894135</v>
      </c>
    </row>
    <row r="538" spans="1:13" x14ac:dyDescent="0.2">
      <c r="A538" t="s">
        <v>364</v>
      </c>
      <c r="B538" t="s">
        <v>264</v>
      </c>
      <c r="C538" s="1" t="d">
        <v>2018-08-01</v>
      </c>
      <c r="D538">
        <v>16</v>
      </c>
      <c r="E538">
        <v>35</v>
      </c>
      <c r="F538">
        <v>560</v>
      </c>
      <c r="G538" s="2" t="s">
        <v>240</v>
      </c>
      <c r="H538" s="2" t="s">
        <v>342</v>
      </c>
      <c r="I538">
        <v>23</v>
      </c>
      <c r="J538">
        <v>8</v>
      </c>
      <c r="K538">
        <v>1</v>
      </c>
      <c r="L538">
        <f t="shared" si="16"/>
        <v>2.7725887222397811</v>
      </c>
      <c r="M538">
        <f t="shared" si="17"/>
        <v>3.5553480614894135</v>
      </c>
    </row>
    <row r="539" spans="1:13" x14ac:dyDescent="0.2">
      <c r="A539" t="s">
        <v>370</v>
      </c>
      <c r="B539" t="s">
        <v>60</v>
      </c>
      <c r="C539" s="1" t="d">
        <v>2017-08-01</v>
      </c>
      <c r="D539">
        <v>6</v>
      </c>
      <c r="E539">
        <v>325</v>
      </c>
      <c r="F539">
        <v>1950</v>
      </c>
      <c r="G539" s="2" t="s">
        <v>62</v>
      </c>
      <c r="H539" s="2" t="s">
        <v>371</v>
      </c>
      <c r="I539">
        <v>23</v>
      </c>
      <c r="J539">
        <v>8</v>
      </c>
      <c r="K539">
        <v>1</v>
      </c>
      <c r="L539">
        <f t="shared" si="16"/>
        <v>1.791759469228055</v>
      </c>
      <c r="M539">
        <f t="shared" si="17"/>
        <v>5.7838251823297373</v>
      </c>
    </row>
    <row r="540" spans="1:13" x14ac:dyDescent="0.2">
      <c r="A540" t="s">
        <v>370</v>
      </c>
      <c r="B540" t="s">
        <v>60</v>
      </c>
      <c r="C540" s="1" t="d">
        <v>2017-09-01</v>
      </c>
      <c r="D540">
        <v>11</v>
      </c>
      <c r="E540">
        <v>325</v>
      </c>
      <c r="F540">
        <v>3575</v>
      </c>
      <c r="G540" s="2" t="s">
        <v>62</v>
      </c>
      <c r="H540" s="2" t="s">
        <v>371</v>
      </c>
      <c r="I540">
        <v>21</v>
      </c>
      <c r="J540">
        <v>9</v>
      </c>
      <c r="K540">
        <v>1</v>
      </c>
      <c r="L540">
        <f t="shared" si="16"/>
        <v>2.3978952727983707</v>
      </c>
      <c r="M540">
        <f t="shared" si="17"/>
        <v>5.7838251823297373</v>
      </c>
    </row>
    <row r="541" spans="1:13" x14ac:dyDescent="0.2">
      <c r="A541" t="s">
        <v>370</v>
      </c>
      <c r="B541" t="s">
        <v>60</v>
      </c>
      <c r="C541" s="1" t="d">
        <v>2017-10-01</v>
      </c>
      <c r="D541">
        <v>2</v>
      </c>
      <c r="E541">
        <v>325</v>
      </c>
      <c r="F541">
        <v>650</v>
      </c>
      <c r="G541" s="2" t="s">
        <v>62</v>
      </c>
      <c r="H541" s="2" t="s">
        <v>371</v>
      </c>
      <c r="I541">
        <v>22</v>
      </c>
      <c r="J541">
        <v>9</v>
      </c>
      <c r="K541">
        <v>2</v>
      </c>
      <c r="L541">
        <f t="shared" si="16"/>
        <v>0.69314718055994529</v>
      </c>
      <c r="M541">
        <f t="shared" si="17"/>
        <v>5.7838251823297373</v>
      </c>
    </row>
    <row r="542" spans="1:13" x14ac:dyDescent="0.2">
      <c r="A542" t="s">
        <v>370</v>
      </c>
      <c r="B542" t="s">
        <v>60</v>
      </c>
      <c r="C542" s="1" t="d">
        <v>2017-11-01</v>
      </c>
      <c r="D542">
        <v>12</v>
      </c>
      <c r="E542">
        <v>325</v>
      </c>
      <c r="F542">
        <v>3900</v>
      </c>
      <c r="G542" s="2" t="s">
        <v>62</v>
      </c>
      <c r="H542" s="2" t="s">
        <v>371</v>
      </c>
      <c r="I542">
        <v>22</v>
      </c>
      <c r="J542">
        <v>8</v>
      </c>
      <c r="K542">
        <v>4</v>
      </c>
      <c r="L542">
        <f t="shared" si="16"/>
        <v>2.4849066497880004</v>
      </c>
      <c r="M542">
        <f t="shared" si="17"/>
        <v>5.7838251823297373</v>
      </c>
    </row>
    <row r="543" spans="1:13" x14ac:dyDescent="0.2">
      <c r="A543" t="s">
        <v>370</v>
      </c>
      <c r="B543" t="s">
        <v>60</v>
      </c>
      <c r="C543" s="1" t="d">
        <v>2017-12-01</v>
      </c>
      <c r="D543">
        <v>6</v>
      </c>
      <c r="E543">
        <v>325</v>
      </c>
      <c r="F543">
        <v>1950</v>
      </c>
      <c r="G543" s="2" t="s">
        <v>62</v>
      </c>
      <c r="H543" s="2" t="s">
        <v>371</v>
      </c>
      <c r="I543">
        <v>21</v>
      </c>
      <c r="J543">
        <v>10</v>
      </c>
      <c r="K543">
        <v>1</v>
      </c>
      <c r="L543">
        <f t="shared" si="16"/>
        <v>1.791759469228055</v>
      </c>
      <c r="M543">
        <f t="shared" si="17"/>
        <v>5.7838251823297373</v>
      </c>
    </row>
    <row r="544" spans="1:13" x14ac:dyDescent="0.2">
      <c r="A544" t="s">
        <v>370</v>
      </c>
      <c r="B544" t="s">
        <v>60</v>
      </c>
      <c r="C544" s="1" t="d">
        <v>2018-01-01</v>
      </c>
      <c r="D544">
        <v>10</v>
      </c>
      <c r="E544">
        <v>325</v>
      </c>
      <c r="F544">
        <v>3250</v>
      </c>
      <c r="G544" s="2" t="s">
        <v>62</v>
      </c>
      <c r="H544" s="2" t="s">
        <v>371</v>
      </c>
      <c r="I544">
        <v>23</v>
      </c>
      <c r="J544">
        <v>8</v>
      </c>
      <c r="K544">
        <v>2</v>
      </c>
      <c r="L544">
        <f t="shared" si="16"/>
        <v>2.3025850929940459</v>
      </c>
      <c r="M544">
        <f t="shared" si="17"/>
        <v>5.7838251823297373</v>
      </c>
    </row>
    <row r="545" spans="1:13" x14ac:dyDescent="0.2">
      <c r="A545" t="s">
        <v>370</v>
      </c>
      <c r="B545" t="s">
        <v>60</v>
      </c>
      <c r="C545" s="1" t="d">
        <v>2018-02-01</v>
      </c>
      <c r="D545">
        <v>23</v>
      </c>
      <c r="E545">
        <v>325</v>
      </c>
      <c r="F545">
        <v>7475</v>
      </c>
      <c r="G545" s="2" t="s">
        <v>62</v>
      </c>
      <c r="H545" s="2" t="s">
        <v>371</v>
      </c>
      <c r="I545">
        <v>20</v>
      </c>
      <c r="J545">
        <v>8</v>
      </c>
      <c r="K545">
        <v>2</v>
      </c>
      <c r="L545">
        <f t="shared" si="16"/>
        <v>3.1354942159291497</v>
      </c>
      <c r="M545">
        <f t="shared" si="17"/>
        <v>5.7838251823297373</v>
      </c>
    </row>
    <row r="546" spans="1:13" x14ac:dyDescent="0.2">
      <c r="A546" t="s">
        <v>370</v>
      </c>
      <c r="B546" t="s">
        <v>60</v>
      </c>
      <c r="C546" s="1" t="d">
        <v>2018-03-01</v>
      </c>
      <c r="D546">
        <v>28</v>
      </c>
      <c r="E546">
        <v>325.89285710000001</v>
      </c>
      <c r="F546">
        <v>9124.9999988</v>
      </c>
      <c r="G546" s="2" t="s">
        <v>62</v>
      </c>
      <c r="H546" s="2" t="s">
        <v>372</v>
      </c>
      <c r="I546">
        <v>22</v>
      </c>
      <c r="J546">
        <v>9</v>
      </c>
      <c r="K546">
        <v>1</v>
      </c>
      <c r="L546">
        <f t="shared" si="16"/>
        <v>3.3322045101752038</v>
      </c>
      <c r="M546">
        <f t="shared" si="17"/>
        <v>5.7865686681439819</v>
      </c>
    </row>
    <row r="547" spans="1:13" x14ac:dyDescent="0.2">
      <c r="A547" t="s">
        <v>370</v>
      </c>
      <c r="B547" t="s">
        <v>60</v>
      </c>
      <c r="C547" s="1" t="d">
        <v>2018-04-01</v>
      </c>
      <c r="D547">
        <v>21</v>
      </c>
      <c r="E547">
        <v>330</v>
      </c>
      <c r="F547">
        <v>6930</v>
      </c>
      <c r="G547" s="2" t="s">
        <v>13</v>
      </c>
      <c r="H547" s="2" t="s">
        <v>373</v>
      </c>
      <c r="I547">
        <v>21</v>
      </c>
      <c r="J547">
        <v>9</v>
      </c>
      <c r="K547">
        <v>1</v>
      </c>
      <c r="L547">
        <f t="shared" si="16"/>
        <v>3.044522437723423</v>
      </c>
      <c r="M547">
        <f t="shared" si="17"/>
        <v>5.7990926544605257</v>
      </c>
    </row>
    <row r="548" spans="1:13" x14ac:dyDescent="0.2">
      <c r="A548" t="s">
        <v>370</v>
      </c>
      <c r="B548" t="s">
        <v>60</v>
      </c>
      <c r="C548" s="1" t="d">
        <v>2018-05-01</v>
      </c>
      <c r="D548">
        <v>19</v>
      </c>
      <c r="E548">
        <v>330</v>
      </c>
      <c r="F548">
        <v>6270</v>
      </c>
      <c r="G548" s="2" t="s">
        <v>62</v>
      </c>
      <c r="H548" s="2" t="s">
        <v>374</v>
      </c>
      <c r="I548">
        <v>23</v>
      </c>
      <c r="J548">
        <v>8</v>
      </c>
      <c r="K548">
        <v>3</v>
      </c>
      <c r="L548">
        <f t="shared" si="16"/>
        <v>2.9444389791664403</v>
      </c>
      <c r="M548">
        <f t="shared" si="17"/>
        <v>5.7990926544605257</v>
      </c>
    </row>
    <row r="549" spans="1:13" x14ac:dyDescent="0.2">
      <c r="A549" t="s">
        <v>370</v>
      </c>
      <c r="B549" t="s">
        <v>60</v>
      </c>
      <c r="C549" s="1" t="d">
        <v>2018-06-01</v>
      </c>
      <c r="D549">
        <v>16</v>
      </c>
      <c r="E549">
        <v>330</v>
      </c>
      <c r="F549">
        <v>5280</v>
      </c>
      <c r="G549" s="2" t="s">
        <v>62</v>
      </c>
      <c r="H549" s="2" t="s">
        <v>374</v>
      </c>
      <c r="I549">
        <v>21</v>
      </c>
      <c r="J549">
        <v>9</v>
      </c>
      <c r="K549">
        <v>0</v>
      </c>
      <c r="L549">
        <f t="shared" si="16"/>
        <v>2.7725887222397811</v>
      </c>
      <c r="M549">
        <f t="shared" si="17"/>
        <v>5.7990926544605257</v>
      </c>
    </row>
    <row r="550" spans="1:13" x14ac:dyDescent="0.2">
      <c r="A550" t="s">
        <v>370</v>
      </c>
      <c r="B550" t="s">
        <v>60</v>
      </c>
      <c r="C550" s="1" t="d">
        <v>2018-07-01</v>
      </c>
      <c r="D550">
        <v>13</v>
      </c>
      <c r="E550">
        <v>330</v>
      </c>
      <c r="F550">
        <v>4290</v>
      </c>
      <c r="G550" s="2" t="s">
        <v>62</v>
      </c>
      <c r="H550" s="2" t="s">
        <v>374</v>
      </c>
      <c r="I550">
        <v>22</v>
      </c>
      <c r="J550">
        <v>9</v>
      </c>
      <c r="K550">
        <v>1</v>
      </c>
      <c r="L550">
        <f t="shared" si="16"/>
        <v>2.5649493574615367</v>
      </c>
      <c r="M550">
        <f t="shared" si="17"/>
        <v>5.7990926544605257</v>
      </c>
    </row>
    <row r="551" spans="1:13" x14ac:dyDescent="0.2">
      <c r="A551" t="s">
        <v>370</v>
      </c>
      <c r="B551" t="s">
        <v>60</v>
      </c>
      <c r="C551" s="1" t="d">
        <v>2018-08-01</v>
      </c>
      <c r="D551">
        <v>28</v>
      </c>
      <c r="E551">
        <v>330</v>
      </c>
      <c r="F551">
        <v>9240</v>
      </c>
      <c r="G551" s="2" t="s">
        <v>62</v>
      </c>
      <c r="H551" s="2" t="s">
        <v>374</v>
      </c>
      <c r="I551">
        <v>23</v>
      </c>
      <c r="J551">
        <v>8</v>
      </c>
      <c r="K551">
        <v>1</v>
      </c>
      <c r="L551">
        <f t="shared" si="16"/>
        <v>3.3322045101752038</v>
      </c>
      <c r="M551">
        <f t="shared" si="17"/>
        <v>5.7990926544605257</v>
      </c>
    </row>
    <row r="552" spans="1:13" x14ac:dyDescent="0.2">
      <c r="A552" t="s">
        <v>375</v>
      </c>
      <c r="B552" t="s">
        <v>25</v>
      </c>
      <c r="C552" s="1" t="d">
        <v>2017-02-01</v>
      </c>
      <c r="D552">
        <v>1</v>
      </c>
      <c r="E552">
        <v>99.99</v>
      </c>
      <c r="F552">
        <v>99.99</v>
      </c>
      <c r="G552">
        <v>4.2</v>
      </c>
      <c r="H552" s="2" t="s">
        <v>376</v>
      </c>
      <c r="I552">
        <v>20</v>
      </c>
      <c r="J552">
        <v>8</v>
      </c>
      <c r="K552">
        <v>2</v>
      </c>
      <c r="L552">
        <f t="shared" si="16"/>
        <v>0</v>
      </c>
      <c r="M552">
        <f t="shared" si="17"/>
        <v>4.6050701809877577</v>
      </c>
    </row>
    <row r="553" spans="1:13" x14ac:dyDescent="0.2">
      <c r="A553" t="s">
        <v>375</v>
      </c>
      <c r="B553" t="s">
        <v>25</v>
      </c>
      <c r="C553" s="1" t="d">
        <v>2017-03-01</v>
      </c>
      <c r="D553">
        <v>5</v>
      </c>
      <c r="E553">
        <v>99.99</v>
      </c>
      <c r="F553">
        <v>499.95</v>
      </c>
      <c r="G553">
        <v>4.2</v>
      </c>
      <c r="H553" s="2" t="s">
        <v>376</v>
      </c>
      <c r="I553">
        <v>23</v>
      </c>
      <c r="J553">
        <v>8</v>
      </c>
      <c r="K553">
        <v>1</v>
      </c>
      <c r="L553">
        <f t="shared" si="16"/>
        <v>1.6094379124341003</v>
      </c>
      <c r="M553">
        <f t="shared" si="17"/>
        <v>4.6050701809877577</v>
      </c>
    </row>
    <row r="554" spans="1:13" x14ac:dyDescent="0.2">
      <c r="A554" t="s">
        <v>375</v>
      </c>
      <c r="B554" t="s">
        <v>25</v>
      </c>
      <c r="C554" s="1" t="d">
        <v>2017-05-01</v>
      </c>
      <c r="D554">
        <v>4</v>
      </c>
      <c r="E554">
        <v>109.99</v>
      </c>
      <c r="F554">
        <v>439.96</v>
      </c>
      <c r="G554" s="2" t="s">
        <v>13</v>
      </c>
      <c r="H554" s="2" t="s">
        <v>301</v>
      </c>
      <c r="I554">
        <v>23</v>
      </c>
      <c r="J554">
        <v>8</v>
      </c>
      <c r="K554">
        <v>1</v>
      </c>
      <c r="L554">
        <f t="shared" si="16"/>
        <v>1.3862943611198906</v>
      </c>
      <c r="M554">
        <f t="shared" si="17"/>
        <v>4.7003894525690253</v>
      </c>
    </row>
    <row r="555" spans="1:13" x14ac:dyDescent="0.2">
      <c r="A555" t="s">
        <v>375</v>
      </c>
      <c r="B555" t="s">
        <v>25</v>
      </c>
      <c r="C555" s="1" t="d">
        <v>2017-06-01</v>
      </c>
      <c r="D555">
        <v>6</v>
      </c>
      <c r="E555">
        <v>109.99</v>
      </c>
      <c r="F555" s="2" t="s">
        <v>377</v>
      </c>
      <c r="G555" s="2" t="s">
        <v>13</v>
      </c>
      <c r="H555" s="2" t="s">
        <v>301</v>
      </c>
      <c r="I555">
        <v>22</v>
      </c>
      <c r="J555">
        <v>8</v>
      </c>
      <c r="K555">
        <v>1</v>
      </c>
      <c r="L555">
        <f t="shared" si="16"/>
        <v>1.791759469228055</v>
      </c>
      <c r="M555">
        <f t="shared" si="17"/>
        <v>4.7003894525690253</v>
      </c>
    </row>
    <row r="556" spans="1:13" x14ac:dyDescent="0.2">
      <c r="A556" t="s">
        <v>375</v>
      </c>
      <c r="B556" t="s">
        <v>25</v>
      </c>
      <c r="C556" s="1" t="d">
        <v>2017-07-01</v>
      </c>
      <c r="D556">
        <v>1</v>
      </c>
      <c r="E556">
        <v>120</v>
      </c>
      <c r="F556">
        <v>120</v>
      </c>
      <c r="G556" s="2" t="s">
        <v>13</v>
      </c>
      <c r="H556" s="2" t="s">
        <v>303</v>
      </c>
      <c r="I556">
        <v>21</v>
      </c>
      <c r="J556">
        <v>10</v>
      </c>
      <c r="K556">
        <v>1</v>
      </c>
      <c r="L556">
        <f t="shared" si="16"/>
        <v>0</v>
      </c>
      <c r="M556">
        <f t="shared" si="17"/>
        <v>4.7874917427820458</v>
      </c>
    </row>
    <row r="557" spans="1:13" x14ac:dyDescent="0.2">
      <c r="A557" t="s">
        <v>375</v>
      </c>
      <c r="B557" t="s">
        <v>25</v>
      </c>
      <c r="C557" s="1" t="d">
        <v>2017-08-01</v>
      </c>
      <c r="D557">
        <v>2</v>
      </c>
      <c r="E557">
        <v>120</v>
      </c>
      <c r="F557">
        <v>240</v>
      </c>
      <c r="G557" s="2" t="s">
        <v>13</v>
      </c>
      <c r="H557" s="2" t="s">
        <v>303</v>
      </c>
      <c r="I557">
        <v>23</v>
      </c>
      <c r="J557">
        <v>8</v>
      </c>
      <c r="K557">
        <v>1</v>
      </c>
      <c r="L557">
        <f t="shared" si="16"/>
        <v>0.69314718055994529</v>
      </c>
      <c r="M557">
        <f t="shared" si="17"/>
        <v>4.7874917427820458</v>
      </c>
    </row>
    <row r="558" spans="1:13" x14ac:dyDescent="0.2">
      <c r="A558" t="s">
        <v>375</v>
      </c>
      <c r="B558" t="s">
        <v>25</v>
      </c>
      <c r="C558" s="1" t="d">
        <v>2017-09-01</v>
      </c>
      <c r="D558">
        <v>7</v>
      </c>
      <c r="E558">
        <v>102.5</v>
      </c>
      <c r="F558">
        <v>717.5</v>
      </c>
      <c r="G558" s="2" t="s">
        <v>13</v>
      </c>
      <c r="H558" s="2" t="s">
        <v>378</v>
      </c>
      <c r="I558">
        <v>21</v>
      </c>
      <c r="J558">
        <v>9</v>
      </c>
      <c r="K558">
        <v>1</v>
      </c>
      <c r="L558">
        <f t="shared" si="16"/>
        <v>1.9459101490553132</v>
      </c>
      <c r="M558">
        <f t="shared" si="17"/>
        <v>4.6298627985784631</v>
      </c>
    </row>
    <row r="559" spans="1:13" x14ac:dyDescent="0.2">
      <c r="A559" t="s">
        <v>375</v>
      </c>
      <c r="B559" t="s">
        <v>25</v>
      </c>
      <c r="C559" s="1" t="d">
        <v>2017-10-01</v>
      </c>
      <c r="D559">
        <v>17</v>
      </c>
      <c r="E559">
        <v>95.29</v>
      </c>
      <c r="F559">
        <v>1619.93</v>
      </c>
      <c r="G559" s="2" t="s">
        <v>13</v>
      </c>
      <c r="H559" s="2" t="s">
        <v>379</v>
      </c>
      <c r="I559">
        <v>22</v>
      </c>
      <c r="J559">
        <v>9</v>
      </c>
      <c r="K559">
        <v>2</v>
      </c>
      <c r="L559">
        <f t="shared" si="16"/>
        <v>2.8332133440562162</v>
      </c>
      <c r="M559">
        <f t="shared" si="17"/>
        <v>4.5569248733600967</v>
      </c>
    </row>
    <row r="560" spans="1:13" x14ac:dyDescent="0.2">
      <c r="A560" t="s">
        <v>375</v>
      </c>
      <c r="B560" t="s">
        <v>25</v>
      </c>
      <c r="C560" s="1" t="d">
        <v>2017-11-01</v>
      </c>
      <c r="D560">
        <v>28</v>
      </c>
      <c r="E560">
        <v>89.99</v>
      </c>
      <c r="F560">
        <v>2519.7199999999998</v>
      </c>
      <c r="G560" s="2" t="s">
        <v>13</v>
      </c>
      <c r="H560" s="2" t="s">
        <v>306</v>
      </c>
      <c r="I560">
        <v>22</v>
      </c>
      <c r="J560">
        <v>8</v>
      </c>
      <c r="K560">
        <v>4</v>
      </c>
      <c r="L560">
        <f t="shared" si="16"/>
        <v>3.3322045101752038</v>
      </c>
      <c r="M560">
        <f t="shared" si="17"/>
        <v>4.4996985530458575</v>
      </c>
    </row>
    <row r="561" spans="1:13" x14ac:dyDescent="0.2">
      <c r="A561" t="s">
        <v>375</v>
      </c>
      <c r="B561" t="s">
        <v>25</v>
      </c>
      <c r="C561" s="1" t="d">
        <v>2017-12-01</v>
      </c>
      <c r="D561">
        <v>27</v>
      </c>
      <c r="E561">
        <v>89.99</v>
      </c>
      <c r="F561">
        <v>2429.73</v>
      </c>
      <c r="G561" s="2" t="s">
        <v>13</v>
      </c>
      <c r="H561" s="2" t="s">
        <v>306</v>
      </c>
      <c r="I561">
        <v>21</v>
      </c>
      <c r="J561">
        <v>10</v>
      </c>
      <c r="K561">
        <v>1</v>
      </c>
      <c r="L561">
        <f t="shared" si="16"/>
        <v>3.2958368660043291</v>
      </c>
      <c r="M561">
        <f t="shared" si="17"/>
        <v>4.4996985530458575</v>
      </c>
    </row>
    <row r="562" spans="1:13" x14ac:dyDescent="0.2">
      <c r="A562" t="s">
        <v>375</v>
      </c>
      <c r="B562" t="s">
        <v>25</v>
      </c>
      <c r="C562" s="1" t="d">
        <v>2018-01-01</v>
      </c>
      <c r="D562">
        <v>11</v>
      </c>
      <c r="E562">
        <v>127.7272727</v>
      </c>
      <c r="F562">
        <v>1404.9999997</v>
      </c>
      <c r="G562" s="2" t="s">
        <v>13</v>
      </c>
      <c r="H562" s="2" t="s">
        <v>380</v>
      </c>
      <c r="I562">
        <v>23</v>
      </c>
      <c r="J562">
        <v>8</v>
      </c>
      <c r="K562">
        <v>2</v>
      </c>
      <c r="L562">
        <f t="shared" si="16"/>
        <v>2.3978952727983707</v>
      </c>
      <c r="M562">
        <f t="shared" si="17"/>
        <v>4.8498973087559527</v>
      </c>
    </row>
    <row r="563" spans="1:13" x14ac:dyDescent="0.2">
      <c r="A563" t="s">
        <v>375</v>
      </c>
      <c r="B563" t="s">
        <v>25</v>
      </c>
      <c r="C563" s="1" t="d">
        <v>2018-02-01</v>
      </c>
      <c r="D563">
        <v>7</v>
      </c>
      <c r="E563">
        <v>120</v>
      </c>
      <c r="F563">
        <v>840</v>
      </c>
      <c r="G563" s="2" t="s">
        <v>13</v>
      </c>
      <c r="H563" s="2" t="s">
        <v>303</v>
      </c>
      <c r="I563">
        <v>20</v>
      </c>
      <c r="J563">
        <v>8</v>
      </c>
      <c r="K563">
        <v>2</v>
      </c>
      <c r="L563">
        <f t="shared" si="16"/>
        <v>1.9459101490553132</v>
      </c>
      <c r="M563">
        <f t="shared" si="17"/>
        <v>4.7874917427820458</v>
      </c>
    </row>
    <row r="564" spans="1:13" x14ac:dyDescent="0.2">
      <c r="A564" t="s">
        <v>375</v>
      </c>
      <c r="B564" t="s">
        <v>25</v>
      </c>
      <c r="C564" s="1" t="d">
        <v>2018-03-01</v>
      </c>
      <c r="D564">
        <v>6</v>
      </c>
      <c r="E564">
        <v>110</v>
      </c>
      <c r="F564">
        <v>660</v>
      </c>
      <c r="G564" s="2" t="s">
        <v>13</v>
      </c>
      <c r="H564" s="2" t="s">
        <v>311</v>
      </c>
      <c r="I564">
        <v>22</v>
      </c>
      <c r="J564">
        <v>9</v>
      </c>
      <c r="K564">
        <v>1</v>
      </c>
      <c r="L564">
        <f t="shared" si="16"/>
        <v>1.791759469228055</v>
      </c>
      <c r="M564">
        <f t="shared" si="17"/>
        <v>4.7004803657924166</v>
      </c>
    </row>
    <row r="565" spans="1:13" x14ac:dyDescent="0.2">
      <c r="A565" t="s">
        <v>375</v>
      </c>
      <c r="B565" t="s">
        <v>25</v>
      </c>
      <c r="C565" s="1" t="d">
        <v>2018-04-01</v>
      </c>
      <c r="D565">
        <v>5</v>
      </c>
      <c r="E565">
        <v>110</v>
      </c>
      <c r="F565">
        <v>550</v>
      </c>
      <c r="G565" s="2" t="s">
        <v>13</v>
      </c>
      <c r="H565" s="2" t="s">
        <v>311</v>
      </c>
      <c r="I565">
        <v>21</v>
      </c>
      <c r="J565">
        <v>9</v>
      </c>
      <c r="K565">
        <v>1</v>
      </c>
      <c r="L565">
        <f t="shared" si="16"/>
        <v>1.6094379124341003</v>
      </c>
      <c r="M565">
        <f t="shared" si="17"/>
        <v>4.7004803657924166</v>
      </c>
    </row>
    <row r="566" spans="1:13" x14ac:dyDescent="0.2">
      <c r="A566" t="s">
        <v>375</v>
      </c>
      <c r="B566" t="s">
        <v>25</v>
      </c>
      <c r="C566" s="1" t="d">
        <v>2018-05-01</v>
      </c>
      <c r="D566">
        <v>2</v>
      </c>
      <c r="E566">
        <v>110</v>
      </c>
      <c r="F566">
        <v>220</v>
      </c>
      <c r="G566" s="2" t="s">
        <v>13</v>
      </c>
      <c r="H566" s="2" t="s">
        <v>311</v>
      </c>
      <c r="I566">
        <v>23</v>
      </c>
      <c r="J566">
        <v>8</v>
      </c>
      <c r="K566">
        <v>3</v>
      </c>
      <c r="L566">
        <f t="shared" si="16"/>
        <v>0.69314718055994529</v>
      </c>
      <c r="M566">
        <f t="shared" si="17"/>
        <v>4.7004803657924166</v>
      </c>
    </row>
    <row r="567" spans="1:13" x14ac:dyDescent="0.2">
      <c r="A567" t="s">
        <v>375</v>
      </c>
      <c r="B567" t="s">
        <v>25</v>
      </c>
      <c r="C567" s="1" t="d">
        <v>2018-06-01</v>
      </c>
      <c r="D567">
        <v>6</v>
      </c>
      <c r="E567">
        <v>89.99</v>
      </c>
      <c r="F567" s="2" t="s">
        <v>97</v>
      </c>
      <c r="G567" s="2" t="s">
        <v>13</v>
      </c>
      <c r="H567" s="2" t="s">
        <v>306</v>
      </c>
      <c r="I567">
        <v>21</v>
      </c>
      <c r="J567">
        <v>9</v>
      </c>
      <c r="K567">
        <v>0</v>
      </c>
      <c r="L567">
        <f t="shared" si="16"/>
        <v>1.791759469228055</v>
      </c>
      <c r="M567">
        <f t="shared" si="17"/>
        <v>4.4996985530458575</v>
      </c>
    </row>
    <row r="568" spans="1:13" x14ac:dyDescent="0.2">
      <c r="A568" t="s">
        <v>375</v>
      </c>
      <c r="B568" t="s">
        <v>25</v>
      </c>
      <c r="C568" s="1" t="d">
        <v>2018-07-01</v>
      </c>
      <c r="D568">
        <v>7</v>
      </c>
      <c r="E568">
        <v>99.99</v>
      </c>
      <c r="F568">
        <v>699.93</v>
      </c>
      <c r="G568" s="2" t="s">
        <v>13</v>
      </c>
      <c r="H568" s="2" t="s">
        <v>313</v>
      </c>
      <c r="I568">
        <v>22</v>
      </c>
      <c r="J568">
        <v>9</v>
      </c>
      <c r="K568">
        <v>1</v>
      </c>
      <c r="L568">
        <f t="shared" si="16"/>
        <v>1.9459101490553132</v>
      </c>
      <c r="M568">
        <f t="shared" si="17"/>
        <v>4.6050701809877577</v>
      </c>
    </row>
    <row r="569" spans="1:13" x14ac:dyDescent="0.2">
      <c r="A569" t="s">
        <v>375</v>
      </c>
      <c r="B569" t="s">
        <v>25</v>
      </c>
      <c r="C569" s="1" t="d">
        <v>2018-08-01</v>
      </c>
      <c r="D569">
        <v>6</v>
      </c>
      <c r="E569">
        <v>98.323333329999997</v>
      </c>
      <c r="F569">
        <v>589.93999998000004</v>
      </c>
      <c r="G569" s="2" t="s">
        <v>13</v>
      </c>
      <c r="H569" s="2" t="s">
        <v>381</v>
      </c>
      <c r="I569">
        <v>23</v>
      </c>
      <c r="J569">
        <v>8</v>
      </c>
      <c r="K569">
        <v>1</v>
      </c>
      <c r="L569">
        <f t="shared" si="16"/>
        <v>1.791759469228055</v>
      </c>
      <c r="M569">
        <f t="shared" si="17"/>
        <v>4.5882613675512758</v>
      </c>
    </row>
    <row r="570" spans="1:13" x14ac:dyDescent="0.2">
      <c r="A570" t="s">
        <v>382</v>
      </c>
      <c r="B570" t="s">
        <v>74</v>
      </c>
      <c r="C570" s="1" t="d">
        <v>2017-02-01</v>
      </c>
      <c r="D570">
        <v>7</v>
      </c>
      <c r="E570">
        <v>85.704285709999994</v>
      </c>
      <c r="F570" s="2" t="s">
        <v>383</v>
      </c>
      <c r="G570" s="2" t="s">
        <v>47</v>
      </c>
      <c r="H570" s="2" t="s">
        <v>384</v>
      </c>
      <c r="I570">
        <v>20</v>
      </c>
      <c r="J570">
        <v>8</v>
      </c>
      <c r="K570">
        <v>2</v>
      </c>
      <c r="L570">
        <f t="shared" si="16"/>
        <v>1.9459101490553132</v>
      </c>
      <c r="M570">
        <f t="shared" si="17"/>
        <v>4.450902832638076</v>
      </c>
    </row>
    <row r="571" spans="1:13" x14ac:dyDescent="0.2">
      <c r="A571" t="s">
        <v>382</v>
      </c>
      <c r="B571" t="s">
        <v>74</v>
      </c>
      <c r="C571" s="1" t="d">
        <v>2017-03-01</v>
      </c>
      <c r="D571">
        <v>14</v>
      </c>
      <c r="E571">
        <v>99.99</v>
      </c>
      <c r="F571">
        <v>1399.86</v>
      </c>
      <c r="G571" s="2" t="s">
        <v>75</v>
      </c>
      <c r="H571">
        <v>23.997599999999998</v>
      </c>
      <c r="I571">
        <v>23</v>
      </c>
      <c r="J571">
        <v>8</v>
      </c>
      <c r="K571">
        <v>1</v>
      </c>
      <c r="L571">
        <f t="shared" si="16"/>
        <v>2.6390573296152584</v>
      </c>
      <c r="M571">
        <f t="shared" si="17"/>
        <v>4.6050701809877577</v>
      </c>
    </row>
    <row r="572" spans="1:13" x14ac:dyDescent="0.2">
      <c r="A572" t="s">
        <v>382</v>
      </c>
      <c r="B572" t="s">
        <v>74</v>
      </c>
      <c r="C572" s="1" t="d">
        <v>2017-04-01</v>
      </c>
      <c r="D572">
        <v>17</v>
      </c>
      <c r="E572">
        <v>99.99</v>
      </c>
      <c r="F572">
        <v>1699.83</v>
      </c>
      <c r="G572" s="2" t="s">
        <v>75</v>
      </c>
      <c r="H572">
        <v>23.997599999999998</v>
      </c>
      <c r="I572">
        <v>20</v>
      </c>
      <c r="J572">
        <v>10</v>
      </c>
      <c r="K572">
        <v>2</v>
      </c>
      <c r="L572">
        <f t="shared" si="16"/>
        <v>2.8332133440562162</v>
      </c>
      <c r="M572">
        <f t="shared" si="17"/>
        <v>4.6050701809877577</v>
      </c>
    </row>
    <row r="573" spans="1:13" x14ac:dyDescent="0.2">
      <c r="A573" t="s">
        <v>382</v>
      </c>
      <c r="B573" t="s">
        <v>74</v>
      </c>
      <c r="C573" s="1" t="d">
        <v>2017-05-01</v>
      </c>
      <c r="D573">
        <v>22</v>
      </c>
      <c r="E573">
        <v>99.99</v>
      </c>
      <c r="F573" s="2" t="s">
        <v>385</v>
      </c>
      <c r="G573" s="2" t="s">
        <v>75</v>
      </c>
      <c r="H573">
        <v>23.997599999999998</v>
      </c>
      <c r="I573">
        <v>23</v>
      </c>
      <c r="J573">
        <v>8</v>
      </c>
      <c r="K573">
        <v>1</v>
      </c>
      <c r="L573">
        <f t="shared" si="16"/>
        <v>3.0910424533583161</v>
      </c>
      <c r="M573">
        <f t="shared" si="17"/>
        <v>4.6050701809877577</v>
      </c>
    </row>
    <row r="574" spans="1:13" x14ac:dyDescent="0.2">
      <c r="A574" t="s">
        <v>382</v>
      </c>
      <c r="B574" t="s">
        <v>74</v>
      </c>
      <c r="C574" s="1" t="d">
        <v>2017-06-01</v>
      </c>
      <c r="D574">
        <v>14</v>
      </c>
      <c r="E574">
        <v>99.99</v>
      </c>
      <c r="F574">
        <v>1399.86</v>
      </c>
      <c r="G574" s="2" t="s">
        <v>75</v>
      </c>
      <c r="H574">
        <v>23.997599999999998</v>
      </c>
      <c r="I574">
        <v>22</v>
      </c>
      <c r="J574">
        <v>8</v>
      </c>
      <c r="K574">
        <v>1</v>
      </c>
      <c r="L574">
        <f t="shared" si="16"/>
        <v>2.6390573296152584</v>
      </c>
      <c r="M574">
        <f t="shared" si="17"/>
        <v>4.6050701809877577</v>
      </c>
    </row>
    <row r="575" spans="1:13" x14ac:dyDescent="0.2">
      <c r="A575" t="s">
        <v>382</v>
      </c>
      <c r="B575" t="s">
        <v>74</v>
      </c>
      <c r="C575" s="1" t="d">
        <v>2017-07-01</v>
      </c>
      <c r="D575">
        <v>11</v>
      </c>
      <c r="E575">
        <v>99.99</v>
      </c>
      <c r="F575" s="2" t="s">
        <v>92</v>
      </c>
      <c r="G575" s="2" t="s">
        <v>75</v>
      </c>
      <c r="H575">
        <v>23.997599999999998</v>
      </c>
      <c r="I575">
        <v>21</v>
      </c>
      <c r="J575">
        <v>10</v>
      </c>
      <c r="K575">
        <v>1</v>
      </c>
      <c r="L575">
        <f t="shared" si="16"/>
        <v>2.3978952727983707</v>
      </c>
      <c r="M575">
        <f t="shared" si="17"/>
        <v>4.6050701809877577</v>
      </c>
    </row>
    <row r="576" spans="1:13" x14ac:dyDescent="0.2">
      <c r="A576" t="s">
        <v>382</v>
      </c>
      <c r="B576" t="s">
        <v>74</v>
      </c>
      <c r="C576" s="1" t="d">
        <v>2017-08-01</v>
      </c>
      <c r="D576">
        <v>14</v>
      </c>
      <c r="E576">
        <v>99.99</v>
      </c>
      <c r="F576">
        <v>1399.86</v>
      </c>
      <c r="G576" s="2" t="s">
        <v>75</v>
      </c>
      <c r="H576">
        <v>23.997599999999998</v>
      </c>
      <c r="I576">
        <v>23</v>
      </c>
      <c r="J576">
        <v>8</v>
      </c>
      <c r="K576">
        <v>1</v>
      </c>
      <c r="L576">
        <f t="shared" si="16"/>
        <v>2.6390573296152584</v>
      </c>
      <c r="M576">
        <f t="shared" si="17"/>
        <v>4.6050701809877577</v>
      </c>
    </row>
    <row r="577" spans="1:13" x14ac:dyDescent="0.2">
      <c r="A577" t="s">
        <v>382</v>
      </c>
      <c r="B577" t="s">
        <v>74</v>
      </c>
      <c r="C577" s="1" t="d">
        <v>2017-09-01</v>
      </c>
      <c r="D577">
        <v>3</v>
      </c>
      <c r="E577">
        <v>99.99</v>
      </c>
      <c r="F577" s="2" t="s">
        <v>94</v>
      </c>
      <c r="G577" s="2" t="s">
        <v>47</v>
      </c>
      <c r="H577" s="2" t="s">
        <v>386</v>
      </c>
      <c r="I577">
        <v>21</v>
      </c>
      <c r="J577">
        <v>9</v>
      </c>
      <c r="K577">
        <v>1</v>
      </c>
      <c r="L577">
        <f t="shared" si="16"/>
        <v>1.0986122886681098</v>
      </c>
      <c r="M577">
        <f t="shared" si="17"/>
        <v>4.6050701809877577</v>
      </c>
    </row>
    <row r="578" spans="1:13" x14ac:dyDescent="0.2">
      <c r="A578" t="s">
        <v>382</v>
      </c>
      <c r="B578" t="s">
        <v>74</v>
      </c>
      <c r="C578" s="1" t="d">
        <v>2017-10-01</v>
      </c>
      <c r="D578">
        <v>2</v>
      </c>
      <c r="E578">
        <v>99.99</v>
      </c>
      <c r="F578">
        <v>199.98</v>
      </c>
      <c r="G578" s="2" t="s">
        <v>75</v>
      </c>
      <c r="H578">
        <v>23.997599999999998</v>
      </c>
      <c r="I578">
        <v>22</v>
      </c>
      <c r="J578">
        <v>9</v>
      </c>
      <c r="K578">
        <v>2</v>
      </c>
      <c r="L578">
        <f t="shared" si="16"/>
        <v>0.69314718055994529</v>
      </c>
      <c r="M578">
        <f t="shared" si="17"/>
        <v>4.6050701809877577</v>
      </c>
    </row>
    <row r="579" spans="1:13" x14ac:dyDescent="0.2">
      <c r="A579" t="s">
        <v>382</v>
      </c>
      <c r="B579" t="s">
        <v>74</v>
      </c>
      <c r="C579" s="1" t="d">
        <v>2017-11-01</v>
      </c>
      <c r="D579">
        <v>4</v>
      </c>
      <c r="E579">
        <v>99.99</v>
      </c>
      <c r="F579">
        <v>399.96</v>
      </c>
      <c r="G579" s="2" t="s">
        <v>75</v>
      </c>
      <c r="H579">
        <v>23.997599999999998</v>
      </c>
      <c r="I579">
        <v>22</v>
      </c>
      <c r="J579">
        <v>8</v>
      </c>
      <c r="K579">
        <v>4</v>
      </c>
      <c r="L579">
        <f t="shared" ref="L579:L642" si="18">IF(D579&gt;0, LN(D579), "")</f>
        <v>1.3862943611198906</v>
      </c>
      <c r="M579">
        <f t="shared" ref="M579:M642" si="19">LN(E579)</f>
        <v>4.6050701809877577</v>
      </c>
    </row>
    <row r="580" spans="1:13" x14ac:dyDescent="0.2">
      <c r="A580" t="s">
        <v>382</v>
      </c>
      <c r="B580" t="s">
        <v>74</v>
      </c>
      <c r="C580" s="1" t="d">
        <v>2017-12-01</v>
      </c>
      <c r="D580">
        <v>3</v>
      </c>
      <c r="E580">
        <v>99.99</v>
      </c>
      <c r="F580" s="2" t="s">
        <v>94</v>
      </c>
      <c r="G580" s="2" t="s">
        <v>75</v>
      </c>
      <c r="H580">
        <v>23.997599999999998</v>
      </c>
      <c r="I580">
        <v>21</v>
      </c>
      <c r="J580">
        <v>10</v>
      </c>
      <c r="K580">
        <v>1</v>
      </c>
      <c r="L580">
        <f t="shared" si="18"/>
        <v>1.0986122886681098</v>
      </c>
      <c r="M580">
        <f t="shared" si="19"/>
        <v>4.6050701809877577</v>
      </c>
    </row>
    <row r="581" spans="1:13" x14ac:dyDescent="0.2">
      <c r="A581" t="s">
        <v>382</v>
      </c>
      <c r="B581" t="s">
        <v>74</v>
      </c>
      <c r="C581" s="1" t="d">
        <v>2018-01-01</v>
      </c>
      <c r="D581">
        <v>3</v>
      </c>
      <c r="E581">
        <v>99.99</v>
      </c>
      <c r="F581" s="2" t="s">
        <v>94</v>
      </c>
      <c r="G581" s="2" t="s">
        <v>75</v>
      </c>
      <c r="H581">
        <v>23.997599999999998</v>
      </c>
      <c r="I581">
        <v>23</v>
      </c>
      <c r="J581">
        <v>8</v>
      </c>
      <c r="K581">
        <v>2</v>
      </c>
      <c r="L581">
        <f t="shared" si="18"/>
        <v>1.0986122886681098</v>
      </c>
      <c r="M581">
        <f t="shared" si="19"/>
        <v>4.6050701809877577</v>
      </c>
    </row>
    <row r="582" spans="1:13" x14ac:dyDescent="0.2">
      <c r="A582" t="s">
        <v>382</v>
      </c>
      <c r="B582" t="s">
        <v>74</v>
      </c>
      <c r="C582" s="1" t="d">
        <v>2018-02-01</v>
      </c>
      <c r="D582">
        <v>1</v>
      </c>
      <c r="E582">
        <v>99.99</v>
      </c>
      <c r="F582">
        <v>99.99</v>
      </c>
      <c r="G582" s="2" t="s">
        <v>75</v>
      </c>
      <c r="H582">
        <v>23.997599999999998</v>
      </c>
      <c r="I582">
        <v>20</v>
      </c>
      <c r="J582">
        <v>8</v>
      </c>
      <c r="K582">
        <v>2</v>
      </c>
      <c r="L582">
        <f t="shared" si="18"/>
        <v>0</v>
      </c>
      <c r="M582">
        <f t="shared" si="19"/>
        <v>4.6050701809877577</v>
      </c>
    </row>
    <row r="583" spans="1:13" x14ac:dyDescent="0.2">
      <c r="A583" t="s">
        <v>382</v>
      </c>
      <c r="B583" t="s">
        <v>74</v>
      </c>
      <c r="C583" s="1" t="d">
        <v>2018-03-01</v>
      </c>
      <c r="D583">
        <v>2</v>
      </c>
      <c r="E583">
        <v>99.99</v>
      </c>
      <c r="F583">
        <v>199.98</v>
      </c>
      <c r="G583" s="2" t="s">
        <v>75</v>
      </c>
      <c r="H583">
        <v>23.997599999999998</v>
      </c>
      <c r="I583">
        <v>22</v>
      </c>
      <c r="J583">
        <v>9</v>
      </c>
      <c r="K583">
        <v>1</v>
      </c>
      <c r="L583">
        <f t="shared" si="18"/>
        <v>0.69314718055994529</v>
      </c>
      <c r="M583">
        <f t="shared" si="19"/>
        <v>4.6050701809877577</v>
      </c>
    </row>
    <row r="584" spans="1:13" x14ac:dyDescent="0.2">
      <c r="A584" t="s">
        <v>382</v>
      </c>
      <c r="B584" t="s">
        <v>74</v>
      </c>
      <c r="C584" s="1" t="d">
        <v>2018-04-01</v>
      </c>
      <c r="D584">
        <v>3</v>
      </c>
      <c r="E584">
        <v>89.863333330000003</v>
      </c>
      <c r="F584">
        <v>269.58999999000002</v>
      </c>
      <c r="G584" s="2" t="s">
        <v>75</v>
      </c>
      <c r="H584">
        <v>21.5671999992</v>
      </c>
      <c r="I584">
        <v>21</v>
      </c>
      <c r="J584">
        <v>9</v>
      </c>
      <c r="K584">
        <v>1</v>
      </c>
      <c r="L584">
        <f t="shared" si="18"/>
        <v>1.0986122886681098</v>
      </c>
      <c r="M584">
        <f t="shared" si="19"/>
        <v>4.4982899976568937</v>
      </c>
    </row>
    <row r="585" spans="1:13" x14ac:dyDescent="0.2">
      <c r="A585" t="s">
        <v>387</v>
      </c>
      <c r="B585" t="s">
        <v>113</v>
      </c>
      <c r="C585" s="1" t="d">
        <v>2017-02-01</v>
      </c>
      <c r="D585">
        <v>3</v>
      </c>
      <c r="E585">
        <v>159.99</v>
      </c>
      <c r="F585">
        <v>479.97</v>
      </c>
      <c r="G585" s="2" t="s">
        <v>47</v>
      </c>
      <c r="H585" s="2" t="s">
        <v>388</v>
      </c>
      <c r="I585">
        <v>20</v>
      </c>
      <c r="J585">
        <v>8</v>
      </c>
      <c r="K585">
        <v>2</v>
      </c>
      <c r="L585">
        <f t="shared" si="18"/>
        <v>1.0986122886681098</v>
      </c>
      <c r="M585">
        <f t="shared" si="19"/>
        <v>5.0751113132806207</v>
      </c>
    </row>
    <row r="586" spans="1:13" x14ac:dyDescent="0.2">
      <c r="A586" t="s">
        <v>387</v>
      </c>
      <c r="B586" t="s">
        <v>113</v>
      </c>
      <c r="C586" s="1" t="d">
        <v>2017-03-01</v>
      </c>
      <c r="D586">
        <v>3</v>
      </c>
      <c r="E586">
        <v>159.99</v>
      </c>
      <c r="F586">
        <v>479.97</v>
      </c>
      <c r="G586" s="2" t="s">
        <v>47</v>
      </c>
      <c r="H586" s="2" t="s">
        <v>388</v>
      </c>
      <c r="I586">
        <v>23</v>
      </c>
      <c r="J586">
        <v>8</v>
      </c>
      <c r="K586">
        <v>1</v>
      </c>
      <c r="L586">
        <f t="shared" si="18"/>
        <v>1.0986122886681098</v>
      </c>
      <c r="M586">
        <f t="shared" si="19"/>
        <v>5.0751113132806207</v>
      </c>
    </row>
    <row r="587" spans="1:13" x14ac:dyDescent="0.2">
      <c r="A587" t="s">
        <v>387</v>
      </c>
      <c r="B587" t="s">
        <v>113</v>
      </c>
      <c r="C587" s="1" t="d">
        <v>2017-04-01</v>
      </c>
      <c r="D587">
        <v>5</v>
      </c>
      <c r="E587">
        <v>139.99</v>
      </c>
      <c r="F587">
        <v>699.95</v>
      </c>
      <c r="G587" s="2" t="s">
        <v>47</v>
      </c>
      <c r="H587" s="2" t="s">
        <v>389</v>
      </c>
      <c r="I587">
        <v>20</v>
      </c>
      <c r="J587">
        <v>10</v>
      </c>
      <c r="K587">
        <v>2</v>
      </c>
      <c r="L587">
        <f t="shared" si="18"/>
        <v>1.6094379124341003</v>
      </c>
      <c r="M587">
        <f t="shared" si="19"/>
        <v>4.9415709914867341</v>
      </c>
    </row>
    <row r="588" spans="1:13" x14ac:dyDescent="0.2">
      <c r="A588" t="s">
        <v>387</v>
      </c>
      <c r="B588" t="s">
        <v>113</v>
      </c>
      <c r="C588" s="1" t="d">
        <v>2017-06-01</v>
      </c>
      <c r="D588">
        <v>3</v>
      </c>
      <c r="E588">
        <v>159.99</v>
      </c>
      <c r="F588">
        <v>479.97</v>
      </c>
      <c r="G588" s="2" t="s">
        <v>47</v>
      </c>
      <c r="H588" s="2" t="s">
        <v>388</v>
      </c>
      <c r="I588">
        <v>22</v>
      </c>
      <c r="J588">
        <v>8</v>
      </c>
      <c r="K588">
        <v>1</v>
      </c>
      <c r="L588">
        <f t="shared" si="18"/>
        <v>1.0986122886681098</v>
      </c>
      <c r="M588">
        <f t="shared" si="19"/>
        <v>5.0751113132806207</v>
      </c>
    </row>
    <row r="589" spans="1:13" x14ac:dyDescent="0.2">
      <c r="A589" t="s">
        <v>387</v>
      </c>
      <c r="B589" t="s">
        <v>113</v>
      </c>
      <c r="C589" s="1" t="d">
        <v>2017-07-01</v>
      </c>
      <c r="D589">
        <v>6</v>
      </c>
      <c r="E589">
        <v>139.99</v>
      </c>
      <c r="F589">
        <v>839.94</v>
      </c>
      <c r="G589" s="2" t="s">
        <v>47</v>
      </c>
      <c r="H589" s="2" t="s">
        <v>389</v>
      </c>
      <c r="I589">
        <v>21</v>
      </c>
      <c r="J589">
        <v>10</v>
      </c>
      <c r="K589">
        <v>1</v>
      </c>
      <c r="L589">
        <f t="shared" si="18"/>
        <v>1.791759469228055</v>
      </c>
      <c r="M589">
        <f t="shared" si="19"/>
        <v>4.9415709914867341</v>
      </c>
    </row>
    <row r="590" spans="1:13" x14ac:dyDescent="0.2">
      <c r="A590" t="s">
        <v>387</v>
      </c>
      <c r="B590" t="s">
        <v>113</v>
      </c>
      <c r="C590" s="1" t="d">
        <v>2017-08-01</v>
      </c>
      <c r="D590">
        <v>7</v>
      </c>
      <c r="E590">
        <v>145.70428570000001</v>
      </c>
      <c r="F590" s="2" t="s">
        <v>390</v>
      </c>
      <c r="G590" s="2" t="s">
        <v>47</v>
      </c>
      <c r="H590" s="2" t="s">
        <v>391</v>
      </c>
      <c r="I590">
        <v>23</v>
      </c>
      <c r="J590">
        <v>8</v>
      </c>
      <c r="K590">
        <v>1</v>
      </c>
      <c r="L590">
        <f t="shared" si="18"/>
        <v>1.9459101490553132</v>
      </c>
      <c r="M590">
        <f t="shared" si="19"/>
        <v>4.981579127319006</v>
      </c>
    </row>
    <row r="591" spans="1:13" x14ac:dyDescent="0.2">
      <c r="A591" t="s">
        <v>387</v>
      </c>
      <c r="B591" t="s">
        <v>113</v>
      </c>
      <c r="C591" s="1" t="d">
        <v>2017-09-01</v>
      </c>
      <c r="D591">
        <v>11</v>
      </c>
      <c r="E591">
        <v>151.99</v>
      </c>
      <c r="F591">
        <v>1671.89</v>
      </c>
      <c r="G591" s="2" t="s">
        <v>47</v>
      </c>
      <c r="H591" s="2" t="s">
        <v>392</v>
      </c>
      <c r="I591">
        <v>21</v>
      </c>
      <c r="J591">
        <v>9</v>
      </c>
      <c r="K591">
        <v>1</v>
      </c>
      <c r="L591">
        <f t="shared" si="18"/>
        <v>2.3978952727983707</v>
      </c>
      <c r="M591">
        <f t="shared" si="19"/>
        <v>5.0238147292083699</v>
      </c>
    </row>
    <row r="592" spans="1:13" x14ac:dyDescent="0.2">
      <c r="A592" t="s">
        <v>387</v>
      </c>
      <c r="B592" t="s">
        <v>113</v>
      </c>
      <c r="C592" s="1" t="d">
        <v>2017-10-01</v>
      </c>
      <c r="D592">
        <v>17</v>
      </c>
      <c r="E592">
        <v>154.69588239999999</v>
      </c>
      <c r="F592" s="2" t="s">
        <v>393</v>
      </c>
      <c r="G592" s="2" t="s">
        <v>47</v>
      </c>
      <c r="H592" s="2" t="s">
        <v>394</v>
      </c>
      <c r="I592">
        <v>22</v>
      </c>
      <c r="J592">
        <v>9</v>
      </c>
      <c r="K592">
        <v>2</v>
      </c>
      <c r="L592">
        <f t="shared" si="18"/>
        <v>2.8332133440562162</v>
      </c>
      <c r="M592">
        <f t="shared" si="19"/>
        <v>5.0414611405473497</v>
      </c>
    </row>
    <row r="593" spans="1:13" x14ac:dyDescent="0.2">
      <c r="A593" t="s">
        <v>387</v>
      </c>
      <c r="B593" t="s">
        <v>113</v>
      </c>
      <c r="C593" s="1" t="d">
        <v>2017-11-01</v>
      </c>
      <c r="D593">
        <v>18</v>
      </c>
      <c r="E593">
        <v>149.99</v>
      </c>
      <c r="F593">
        <v>2699.82</v>
      </c>
      <c r="G593" s="2" t="s">
        <v>47</v>
      </c>
      <c r="H593" s="2" t="s">
        <v>395</v>
      </c>
      <c r="I593">
        <v>22</v>
      </c>
      <c r="J593">
        <v>8</v>
      </c>
      <c r="K593">
        <v>4</v>
      </c>
      <c r="L593">
        <f t="shared" si="18"/>
        <v>2.8903717578961645</v>
      </c>
      <c r="M593">
        <f t="shared" si="19"/>
        <v>5.0105686252072683</v>
      </c>
    </row>
    <row r="594" spans="1:13" x14ac:dyDescent="0.2">
      <c r="A594" t="s">
        <v>387</v>
      </c>
      <c r="B594" t="s">
        <v>113</v>
      </c>
      <c r="C594" s="1" t="d">
        <v>2017-12-01</v>
      </c>
      <c r="D594">
        <v>23</v>
      </c>
      <c r="E594">
        <v>149.99</v>
      </c>
      <c r="F594" s="2" t="s">
        <v>396</v>
      </c>
      <c r="G594" s="2" t="s">
        <v>47</v>
      </c>
      <c r="H594" s="2" t="s">
        <v>395</v>
      </c>
      <c r="I594">
        <v>21</v>
      </c>
      <c r="J594">
        <v>10</v>
      </c>
      <c r="K594">
        <v>1</v>
      </c>
      <c r="L594">
        <f t="shared" si="18"/>
        <v>3.1354942159291497</v>
      </c>
      <c r="M594">
        <f t="shared" si="19"/>
        <v>5.0105686252072683</v>
      </c>
    </row>
    <row r="595" spans="1:13" x14ac:dyDescent="0.2">
      <c r="A595" t="s">
        <v>387</v>
      </c>
      <c r="B595" t="s">
        <v>113</v>
      </c>
      <c r="C595" s="1" t="d">
        <v>2018-01-01</v>
      </c>
      <c r="D595">
        <v>43</v>
      </c>
      <c r="E595">
        <v>156.5113514</v>
      </c>
      <c r="F595">
        <v>6729.9881101999999</v>
      </c>
      <c r="G595" s="2" t="s">
        <v>75</v>
      </c>
      <c r="H595" s="2" t="s">
        <v>397</v>
      </c>
      <c r="I595">
        <v>23</v>
      </c>
      <c r="J595">
        <v>8</v>
      </c>
      <c r="K595">
        <v>2</v>
      </c>
      <c r="L595">
        <f t="shared" si="18"/>
        <v>3.7612001156935624</v>
      </c>
      <c r="M595">
        <f t="shared" si="19"/>
        <v>5.0531285402571724</v>
      </c>
    </row>
    <row r="596" spans="1:13" x14ac:dyDescent="0.2">
      <c r="A596" t="s">
        <v>387</v>
      </c>
      <c r="B596" t="s">
        <v>113</v>
      </c>
      <c r="C596" s="1" t="d">
        <v>2018-02-01</v>
      </c>
      <c r="D596">
        <v>31</v>
      </c>
      <c r="E596">
        <v>149</v>
      </c>
      <c r="F596">
        <v>4619</v>
      </c>
      <c r="G596" s="2" t="s">
        <v>75</v>
      </c>
      <c r="H596">
        <v>35.76</v>
      </c>
      <c r="I596">
        <v>20</v>
      </c>
      <c r="J596">
        <v>8</v>
      </c>
      <c r="K596">
        <v>2</v>
      </c>
      <c r="L596">
        <f t="shared" si="18"/>
        <v>3.4339872044851463</v>
      </c>
      <c r="M596">
        <f t="shared" si="19"/>
        <v>5.0039463059454592</v>
      </c>
    </row>
    <row r="597" spans="1:13" x14ac:dyDescent="0.2">
      <c r="A597" t="s">
        <v>387</v>
      </c>
      <c r="B597" t="s">
        <v>113</v>
      </c>
      <c r="C597" s="1" t="d">
        <v>2018-03-01</v>
      </c>
      <c r="D597">
        <v>44</v>
      </c>
      <c r="E597">
        <v>136.14285709999999</v>
      </c>
      <c r="F597" s="2" t="s">
        <v>398</v>
      </c>
      <c r="G597" s="2" t="s">
        <v>75</v>
      </c>
      <c r="H597" s="2" t="s">
        <v>399</v>
      </c>
      <c r="I597">
        <v>22</v>
      </c>
      <c r="J597">
        <v>9</v>
      </c>
      <c r="K597">
        <v>1</v>
      </c>
      <c r="L597">
        <f t="shared" si="18"/>
        <v>3.784189633918261</v>
      </c>
      <c r="M597">
        <f t="shared" si="19"/>
        <v>4.913704754284093</v>
      </c>
    </row>
    <row r="598" spans="1:13" x14ac:dyDescent="0.2">
      <c r="A598" t="s">
        <v>387</v>
      </c>
      <c r="B598" t="s">
        <v>113</v>
      </c>
      <c r="C598" s="1" t="d">
        <v>2018-04-01</v>
      </c>
      <c r="D598">
        <v>56</v>
      </c>
      <c r="E598">
        <v>120.9230769</v>
      </c>
      <c r="F598">
        <v>6771.6923064000002</v>
      </c>
      <c r="G598" s="2" t="s">
        <v>75</v>
      </c>
      <c r="H598">
        <v>29.021538455999998</v>
      </c>
      <c r="I598">
        <v>21</v>
      </c>
      <c r="J598">
        <v>9</v>
      </c>
      <c r="K598">
        <v>1</v>
      </c>
      <c r="L598">
        <f t="shared" si="18"/>
        <v>4.0253516907351496</v>
      </c>
      <c r="M598">
        <f t="shared" si="19"/>
        <v>4.7951546153367754</v>
      </c>
    </row>
    <row r="599" spans="1:13" x14ac:dyDescent="0.2">
      <c r="A599" t="s">
        <v>387</v>
      </c>
      <c r="B599" t="s">
        <v>113</v>
      </c>
      <c r="C599" s="1" t="d">
        <v>2018-05-01</v>
      </c>
      <c r="D599">
        <v>25</v>
      </c>
      <c r="E599">
        <v>119</v>
      </c>
      <c r="F599">
        <v>2975</v>
      </c>
      <c r="G599" s="2" t="s">
        <v>75</v>
      </c>
      <c r="H599">
        <v>28.56</v>
      </c>
      <c r="I599">
        <v>23</v>
      </c>
      <c r="J599">
        <v>8</v>
      </c>
      <c r="K599">
        <v>3</v>
      </c>
      <c r="L599">
        <f t="shared" si="18"/>
        <v>3.2188758248682006</v>
      </c>
      <c r="M599">
        <f t="shared" si="19"/>
        <v>4.7791234931115296</v>
      </c>
    </row>
    <row r="600" spans="1:13" x14ac:dyDescent="0.2">
      <c r="A600" t="s">
        <v>387</v>
      </c>
      <c r="B600" t="s">
        <v>113</v>
      </c>
      <c r="C600" s="1" t="d">
        <v>2018-06-01</v>
      </c>
      <c r="D600">
        <v>27</v>
      </c>
      <c r="E600">
        <v>114.49115380000001</v>
      </c>
      <c r="F600">
        <v>3091.2611526000001</v>
      </c>
      <c r="G600" s="2" t="s">
        <v>75</v>
      </c>
      <c r="H600">
        <v>27.477876911999999</v>
      </c>
      <c r="I600">
        <v>21</v>
      </c>
      <c r="J600">
        <v>9</v>
      </c>
      <c r="K600">
        <v>0</v>
      </c>
      <c r="L600">
        <f t="shared" si="18"/>
        <v>3.2958368660043291</v>
      </c>
      <c r="M600">
        <f t="shared" si="19"/>
        <v>4.7404975606209874</v>
      </c>
    </row>
    <row r="601" spans="1:13" x14ac:dyDescent="0.2">
      <c r="A601" t="s">
        <v>387</v>
      </c>
      <c r="B601" t="s">
        <v>113</v>
      </c>
      <c r="C601" s="1" t="d">
        <v>2018-07-01</v>
      </c>
      <c r="D601">
        <v>9</v>
      </c>
      <c r="E601">
        <v>119.99</v>
      </c>
      <c r="F601" s="2" t="s">
        <v>400</v>
      </c>
      <c r="G601" s="2" t="s">
        <v>75</v>
      </c>
      <c r="H601" s="2" t="s">
        <v>226</v>
      </c>
      <c r="I601">
        <v>22</v>
      </c>
      <c r="J601">
        <v>9</v>
      </c>
      <c r="K601">
        <v>1</v>
      </c>
      <c r="L601">
        <f t="shared" si="18"/>
        <v>2.1972245773362196</v>
      </c>
      <c r="M601">
        <f t="shared" si="19"/>
        <v>4.7874084059762971</v>
      </c>
    </row>
    <row r="602" spans="1:13" x14ac:dyDescent="0.2">
      <c r="A602" t="s">
        <v>387</v>
      </c>
      <c r="B602" t="s">
        <v>113</v>
      </c>
      <c r="C602" s="1" t="d">
        <v>2018-08-01</v>
      </c>
      <c r="D602">
        <v>10</v>
      </c>
      <c r="E602">
        <v>119.99</v>
      </c>
      <c r="F602" s="2" t="s">
        <v>225</v>
      </c>
      <c r="G602" s="2" t="s">
        <v>75</v>
      </c>
      <c r="H602" s="2" t="s">
        <v>226</v>
      </c>
      <c r="I602">
        <v>23</v>
      </c>
      <c r="J602">
        <v>8</v>
      </c>
      <c r="K602">
        <v>1</v>
      </c>
      <c r="L602">
        <f t="shared" si="18"/>
        <v>2.3025850929940459</v>
      </c>
      <c r="M602">
        <f t="shared" si="19"/>
        <v>4.7874084059762971</v>
      </c>
    </row>
    <row r="603" spans="1:13" x14ac:dyDescent="0.2">
      <c r="A603" t="s">
        <v>401</v>
      </c>
      <c r="B603" t="s">
        <v>156</v>
      </c>
      <c r="C603" s="1" t="d">
        <v>2017-08-01</v>
      </c>
      <c r="D603">
        <v>2</v>
      </c>
      <c r="E603">
        <v>339</v>
      </c>
      <c r="F603">
        <v>678</v>
      </c>
      <c r="G603" s="2" t="s">
        <v>17</v>
      </c>
      <c r="H603" s="2" t="s">
        <v>402</v>
      </c>
      <c r="I603">
        <v>23</v>
      </c>
      <c r="J603">
        <v>8</v>
      </c>
      <c r="K603">
        <v>1</v>
      </c>
      <c r="L603">
        <f t="shared" si="18"/>
        <v>0.69314718055994529</v>
      </c>
      <c r="M603">
        <f t="shared" si="19"/>
        <v>5.8260001073804499</v>
      </c>
    </row>
    <row r="604" spans="1:13" x14ac:dyDescent="0.2">
      <c r="A604" t="s">
        <v>401</v>
      </c>
      <c r="B604" t="s">
        <v>156</v>
      </c>
      <c r="C604" s="1" t="d">
        <v>2017-09-01</v>
      </c>
      <c r="D604">
        <v>1</v>
      </c>
      <c r="E604">
        <v>339</v>
      </c>
      <c r="F604">
        <v>339</v>
      </c>
      <c r="G604" s="2" t="s">
        <v>17</v>
      </c>
      <c r="H604" s="2" t="s">
        <v>402</v>
      </c>
      <c r="I604">
        <v>21</v>
      </c>
      <c r="J604">
        <v>9</v>
      </c>
      <c r="K604">
        <v>1</v>
      </c>
      <c r="L604">
        <f t="shared" si="18"/>
        <v>0</v>
      </c>
      <c r="M604">
        <f t="shared" si="19"/>
        <v>5.8260001073804499</v>
      </c>
    </row>
    <row r="605" spans="1:13" x14ac:dyDescent="0.2">
      <c r="A605" t="s">
        <v>401</v>
      </c>
      <c r="B605" t="s">
        <v>156</v>
      </c>
      <c r="C605" s="1" t="d">
        <v>2017-10-01</v>
      </c>
      <c r="D605">
        <v>10</v>
      </c>
      <c r="E605">
        <v>346.15800000000002</v>
      </c>
      <c r="F605">
        <v>3461.58</v>
      </c>
      <c r="G605" s="2" t="s">
        <v>17</v>
      </c>
      <c r="H605" s="2" t="s">
        <v>403</v>
      </c>
      <c r="I605">
        <v>22</v>
      </c>
      <c r="J605">
        <v>9</v>
      </c>
      <c r="K605">
        <v>2</v>
      </c>
      <c r="L605">
        <f t="shared" si="18"/>
        <v>2.3025850929940459</v>
      </c>
      <c r="M605">
        <f t="shared" si="19"/>
        <v>5.8468953182248748</v>
      </c>
    </row>
    <row r="606" spans="1:13" x14ac:dyDescent="0.2">
      <c r="A606" t="s">
        <v>401</v>
      </c>
      <c r="B606" t="s">
        <v>156</v>
      </c>
      <c r="C606" s="1" t="d">
        <v>2017-11-01</v>
      </c>
      <c r="D606">
        <v>9</v>
      </c>
      <c r="E606">
        <v>345.70666670000003</v>
      </c>
      <c r="F606">
        <v>3111.3600003000001</v>
      </c>
      <c r="G606" s="2" t="s">
        <v>47</v>
      </c>
      <c r="H606" s="2" t="s">
        <v>404</v>
      </c>
      <c r="I606">
        <v>22</v>
      </c>
      <c r="J606">
        <v>8</v>
      </c>
      <c r="K606">
        <v>4</v>
      </c>
      <c r="L606">
        <f t="shared" si="18"/>
        <v>2.1972245773362196</v>
      </c>
      <c r="M606">
        <f t="shared" si="19"/>
        <v>5.8455906313814934</v>
      </c>
    </row>
    <row r="607" spans="1:13" x14ac:dyDescent="0.2">
      <c r="A607" t="s">
        <v>401</v>
      </c>
      <c r="B607" t="s">
        <v>156</v>
      </c>
      <c r="C607" s="1" t="d">
        <v>2017-12-01</v>
      </c>
      <c r="D607">
        <v>11</v>
      </c>
      <c r="E607">
        <v>348.8</v>
      </c>
      <c r="F607">
        <v>3836.8</v>
      </c>
      <c r="G607" s="2" t="s">
        <v>47</v>
      </c>
      <c r="H607" s="2" t="s">
        <v>405</v>
      </c>
      <c r="I607">
        <v>21</v>
      </c>
      <c r="J607">
        <v>10</v>
      </c>
      <c r="K607">
        <v>1</v>
      </c>
      <c r="L607">
        <f t="shared" si="18"/>
        <v>2.3978952727983707</v>
      </c>
      <c r="M607">
        <f t="shared" si="19"/>
        <v>5.8544986920348245</v>
      </c>
    </row>
    <row r="608" spans="1:13" x14ac:dyDescent="0.2">
      <c r="A608" t="s">
        <v>401</v>
      </c>
      <c r="B608" t="s">
        <v>156</v>
      </c>
      <c r="C608" s="1" t="d">
        <v>2018-01-01</v>
      </c>
      <c r="D608">
        <v>1</v>
      </c>
      <c r="E608">
        <v>339.9</v>
      </c>
      <c r="F608">
        <v>339.9</v>
      </c>
      <c r="G608" s="2" t="s">
        <v>17</v>
      </c>
      <c r="H608" s="2" t="s">
        <v>406</v>
      </c>
      <c r="I608">
        <v>23</v>
      </c>
      <c r="J608">
        <v>8</v>
      </c>
      <c r="K608">
        <v>2</v>
      </c>
      <c r="L608">
        <f t="shared" si="18"/>
        <v>0</v>
      </c>
      <c r="M608">
        <f t="shared" si="19"/>
        <v>5.8286514567020706</v>
      </c>
    </row>
    <row r="609" spans="1:13" x14ac:dyDescent="0.2">
      <c r="A609" t="s">
        <v>401</v>
      </c>
      <c r="B609" t="s">
        <v>156</v>
      </c>
      <c r="C609" s="1" t="d">
        <v>2018-02-01</v>
      </c>
      <c r="D609">
        <v>5</v>
      </c>
      <c r="E609">
        <v>347</v>
      </c>
      <c r="F609">
        <v>1735</v>
      </c>
      <c r="G609" s="2" t="s">
        <v>47</v>
      </c>
      <c r="H609">
        <v>83.951612903225794</v>
      </c>
      <c r="I609">
        <v>20</v>
      </c>
      <c r="J609">
        <v>8</v>
      </c>
      <c r="K609">
        <v>2</v>
      </c>
      <c r="L609">
        <f t="shared" si="18"/>
        <v>1.6094379124341003</v>
      </c>
      <c r="M609">
        <f t="shared" si="19"/>
        <v>5.8493247799468593</v>
      </c>
    </row>
    <row r="610" spans="1:13" x14ac:dyDescent="0.2">
      <c r="A610" t="s">
        <v>401</v>
      </c>
      <c r="B610" t="s">
        <v>156</v>
      </c>
      <c r="C610" s="1" t="d">
        <v>2018-03-01</v>
      </c>
      <c r="D610">
        <v>6</v>
      </c>
      <c r="E610">
        <v>307.83333329999999</v>
      </c>
      <c r="F610" s="2" t="s">
        <v>407</v>
      </c>
      <c r="G610" s="2" t="s">
        <v>47</v>
      </c>
      <c r="H610" s="2" t="s">
        <v>408</v>
      </c>
      <c r="I610">
        <v>22</v>
      </c>
      <c r="J610">
        <v>9</v>
      </c>
      <c r="K610">
        <v>1</v>
      </c>
      <c r="L610">
        <f t="shared" si="18"/>
        <v>1.791759469228055</v>
      </c>
      <c r="M610">
        <f t="shared" si="19"/>
        <v>5.7295585108629012</v>
      </c>
    </row>
    <row r="611" spans="1:13" x14ac:dyDescent="0.2">
      <c r="A611" t="s">
        <v>401</v>
      </c>
      <c r="B611" t="s">
        <v>156</v>
      </c>
      <c r="C611" s="1" t="d">
        <v>2018-04-01</v>
      </c>
      <c r="D611">
        <v>6</v>
      </c>
      <c r="E611">
        <v>280.66666670000001</v>
      </c>
      <c r="F611" s="2" t="s">
        <v>409</v>
      </c>
      <c r="G611" s="2" t="s">
        <v>47</v>
      </c>
      <c r="H611" s="2" t="s">
        <v>410</v>
      </c>
      <c r="I611">
        <v>21</v>
      </c>
      <c r="J611">
        <v>9</v>
      </c>
      <c r="K611">
        <v>1</v>
      </c>
      <c r="L611">
        <f t="shared" si="18"/>
        <v>1.791759469228055</v>
      </c>
      <c r="M611">
        <f t="shared" si="19"/>
        <v>5.637167725692982</v>
      </c>
    </row>
    <row r="612" spans="1:13" x14ac:dyDescent="0.2">
      <c r="A612" t="s">
        <v>401</v>
      </c>
      <c r="B612" t="s">
        <v>156</v>
      </c>
      <c r="C612" s="1" t="d">
        <v>2018-05-01</v>
      </c>
      <c r="D612">
        <v>23</v>
      </c>
      <c r="E612">
        <v>258.96956519999998</v>
      </c>
      <c r="F612">
        <v>5956.2999995999999</v>
      </c>
      <c r="G612" s="2" t="s">
        <v>47</v>
      </c>
      <c r="H612" s="2" t="s">
        <v>411</v>
      </c>
      <c r="I612">
        <v>23</v>
      </c>
      <c r="J612">
        <v>8</v>
      </c>
      <c r="K612">
        <v>3</v>
      </c>
      <c r="L612">
        <f t="shared" si="18"/>
        <v>3.1354942159291497</v>
      </c>
      <c r="M612">
        <f t="shared" si="19"/>
        <v>5.5567105459145196</v>
      </c>
    </row>
    <row r="613" spans="1:13" x14ac:dyDescent="0.2">
      <c r="A613" t="s">
        <v>401</v>
      </c>
      <c r="B613" t="s">
        <v>156</v>
      </c>
      <c r="C613" s="1" t="d">
        <v>2018-06-01</v>
      </c>
      <c r="D613">
        <v>4</v>
      </c>
      <c r="E613">
        <v>245.9</v>
      </c>
      <c r="F613">
        <v>983.6</v>
      </c>
      <c r="G613" s="2" t="s">
        <v>47</v>
      </c>
      <c r="H613" s="2" t="s">
        <v>412</v>
      </c>
      <c r="I613">
        <v>21</v>
      </c>
      <c r="J613">
        <v>9</v>
      </c>
      <c r="K613">
        <v>0</v>
      </c>
      <c r="L613">
        <f t="shared" si="18"/>
        <v>1.3862943611198906</v>
      </c>
      <c r="M613">
        <f t="shared" si="19"/>
        <v>5.504924949222147</v>
      </c>
    </row>
    <row r="614" spans="1:13" x14ac:dyDescent="0.2">
      <c r="A614" t="s">
        <v>401</v>
      </c>
      <c r="B614" t="s">
        <v>156</v>
      </c>
      <c r="C614" s="1" t="d">
        <v>2018-07-01</v>
      </c>
      <c r="D614">
        <v>45</v>
      </c>
      <c r="E614">
        <v>169.3493182</v>
      </c>
      <c r="F614">
        <v>7620.7193189999998</v>
      </c>
      <c r="G614" s="2" t="s">
        <v>47</v>
      </c>
      <c r="H614" s="2" t="s">
        <v>413</v>
      </c>
      <c r="I614">
        <v>22</v>
      </c>
      <c r="J614">
        <v>9</v>
      </c>
      <c r="K614">
        <v>1</v>
      </c>
      <c r="L614">
        <f t="shared" si="18"/>
        <v>3.8066624897703196</v>
      </c>
      <c r="M614">
        <f t="shared" si="19"/>
        <v>5.131963553273982</v>
      </c>
    </row>
    <row r="615" spans="1:13" x14ac:dyDescent="0.2">
      <c r="A615" t="s">
        <v>414</v>
      </c>
      <c r="B615" t="s">
        <v>113</v>
      </c>
      <c r="C615" s="1" t="d">
        <v>2017-05-01</v>
      </c>
      <c r="D615">
        <v>15</v>
      </c>
      <c r="E615">
        <v>178.0571429</v>
      </c>
      <c r="F615">
        <v>2670.8571434999999</v>
      </c>
      <c r="G615" s="2" t="s">
        <v>47</v>
      </c>
      <c r="H615" s="2" t="s">
        <v>415</v>
      </c>
      <c r="I615">
        <v>23</v>
      </c>
      <c r="J615">
        <v>8</v>
      </c>
      <c r="K615">
        <v>1</v>
      </c>
      <c r="L615">
        <f t="shared" si="18"/>
        <v>2.7080502011022101</v>
      </c>
      <c r="M615">
        <f t="shared" si="19"/>
        <v>5.1821045263018641</v>
      </c>
    </row>
    <row r="616" spans="1:13" x14ac:dyDescent="0.2">
      <c r="A616" t="s">
        <v>414</v>
      </c>
      <c r="B616" t="s">
        <v>113</v>
      </c>
      <c r="C616" s="1" t="d">
        <v>2017-06-01</v>
      </c>
      <c r="D616">
        <v>15</v>
      </c>
      <c r="E616">
        <v>149.85249999999999</v>
      </c>
      <c r="F616">
        <v>2247.7874999999999</v>
      </c>
      <c r="G616" s="2" t="s">
        <v>47</v>
      </c>
      <c r="H616" s="2" t="s">
        <v>416</v>
      </c>
      <c r="I616">
        <v>22</v>
      </c>
      <c r="J616">
        <v>8</v>
      </c>
      <c r="K616">
        <v>1</v>
      </c>
      <c r="L616">
        <f t="shared" si="18"/>
        <v>2.7080502011022101</v>
      </c>
      <c r="M616">
        <f t="shared" si="19"/>
        <v>5.0096514769735236</v>
      </c>
    </row>
    <row r="617" spans="1:13" x14ac:dyDescent="0.2">
      <c r="A617" t="s">
        <v>414</v>
      </c>
      <c r="B617" t="s">
        <v>113</v>
      </c>
      <c r="C617" s="1" t="d">
        <v>2017-07-01</v>
      </c>
      <c r="D617">
        <v>4</v>
      </c>
      <c r="E617">
        <v>146.6</v>
      </c>
      <c r="F617">
        <v>586.4</v>
      </c>
      <c r="G617" s="2" t="s">
        <v>47</v>
      </c>
      <c r="H617" s="2" t="s">
        <v>417</v>
      </c>
      <c r="I617">
        <v>21</v>
      </c>
      <c r="J617">
        <v>10</v>
      </c>
      <c r="K617">
        <v>1</v>
      </c>
      <c r="L617">
        <f t="shared" si="18"/>
        <v>1.3862943611198906</v>
      </c>
      <c r="M617">
        <f t="shared" si="19"/>
        <v>4.9877077894525508</v>
      </c>
    </row>
    <row r="618" spans="1:13" x14ac:dyDescent="0.2">
      <c r="A618" t="s">
        <v>414</v>
      </c>
      <c r="B618" t="s">
        <v>113</v>
      </c>
      <c r="C618" s="1" t="d">
        <v>2017-08-01</v>
      </c>
      <c r="D618">
        <v>13</v>
      </c>
      <c r="E618">
        <v>144.96</v>
      </c>
      <c r="F618">
        <v>1884.48</v>
      </c>
      <c r="G618" s="2" t="s">
        <v>47</v>
      </c>
      <c r="H618" s="2" t="s">
        <v>418</v>
      </c>
      <c r="I618">
        <v>23</v>
      </c>
      <c r="J618">
        <v>8</v>
      </c>
      <c r="K618">
        <v>1</v>
      </c>
      <c r="L618">
        <f t="shared" si="18"/>
        <v>2.5649493574615367</v>
      </c>
      <c r="M618">
        <f t="shared" si="19"/>
        <v>4.9764578422946695</v>
      </c>
    </row>
    <row r="619" spans="1:13" x14ac:dyDescent="0.2">
      <c r="A619" t="s">
        <v>414</v>
      </c>
      <c r="B619" t="s">
        <v>113</v>
      </c>
      <c r="C619" s="1" t="d">
        <v>2017-09-01</v>
      </c>
      <c r="D619">
        <v>12</v>
      </c>
      <c r="E619">
        <v>138.59</v>
      </c>
      <c r="F619">
        <v>1663.08</v>
      </c>
      <c r="G619" s="2" t="s">
        <v>47</v>
      </c>
      <c r="H619" s="2" t="s">
        <v>419</v>
      </c>
      <c r="I619">
        <v>21</v>
      </c>
      <c r="J619">
        <v>9</v>
      </c>
      <c r="K619">
        <v>1</v>
      </c>
      <c r="L619">
        <f t="shared" si="18"/>
        <v>2.4849066497880004</v>
      </c>
      <c r="M619">
        <f t="shared" si="19"/>
        <v>4.9315199340807112</v>
      </c>
    </row>
    <row r="620" spans="1:13" x14ac:dyDescent="0.2">
      <c r="A620" t="s">
        <v>414</v>
      </c>
      <c r="B620" t="s">
        <v>113</v>
      </c>
      <c r="C620" s="1" t="d">
        <v>2017-10-01</v>
      </c>
      <c r="D620">
        <v>16</v>
      </c>
      <c r="E620">
        <v>137.9</v>
      </c>
      <c r="F620">
        <v>2206.4</v>
      </c>
      <c r="G620" s="2" t="s">
        <v>47</v>
      </c>
      <c r="H620" s="2" t="s">
        <v>420</v>
      </c>
      <c r="I620">
        <v>22</v>
      </c>
      <c r="J620">
        <v>9</v>
      </c>
      <c r="K620">
        <v>2</v>
      </c>
      <c r="L620">
        <f t="shared" si="18"/>
        <v>2.7725887222397811</v>
      </c>
      <c r="M620">
        <f t="shared" si="19"/>
        <v>4.926528784799256</v>
      </c>
    </row>
    <row r="621" spans="1:13" x14ac:dyDescent="0.2">
      <c r="A621" t="s">
        <v>414</v>
      </c>
      <c r="B621" t="s">
        <v>113</v>
      </c>
      <c r="C621" s="1" t="d">
        <v>2017-11-01</v>
      </c>
      <c r="D621">
        <v>18</v>
      </c>
      <c r="E621">
        <v>137.9</v>
      </c>
      <c r="F621" s="2" t="s">
        <v>421</v>
      </c>
      <c r="G621" s="2" t="s">
        <v>47</v>
      </c>
      <c r="H621" s="2" t="s">
        <v>420</v>
      </c>
      <c r="I621">
        <v>22</v>
      </c>
      <c r="J621">
        <v>8</v>
      </c>
      <c r="K621">
        <v>4</v>
      </c>
      <c r="L621">
        <f t="shared" si="18"/>
        <v>2.8903717578961645</v>
      </c>
      <c r="M621">
        <f t="shared" si="19"/>
        <v>4.926528784799256</v>
      </c>
    </row>
    <row r="622" spans="1:13" x14ac:dyDescent="0.2">
      <c r="A622" t="s">
        <v>414</v>
      </c>
      <c r="B622" t="s">
        <v>113</v>
      </c>
      <c r="C622" s="1" t="d">
        <v>2017-12-01</v>
      </c>
      <c r="D622">
        <v>2</v>
      </c>
      <c r="E622">
        <v>134.9</v>
      </c>
      <c r="F622">
        <v>269.8</v>
      </c>
      <c r="G622" s="2" t="s">
        <v>47</v>
      </c>
      <c r="H622" s="2" t="s">
        <v>196</v>
      </c>
      <c r="I622">
        <v>21</v>
      </c>
      <c r="J622">
        <v>10</v>
      </c>
      <c r="K622">
        <v>1</v>
      </c>
      <c r="L622">
        <f t="shared" si="18"/>
        <v>0.69314718055994529</v>
      </c>
      <c r="M622">
        <f t="shared" si="19"/>
        <v>4.9045337632137098</v>
      </c>
    </row>
    <row r="623" spans="1:13" x14ac:dyDescent="0.2">
      <c r="A623" t="s">
        <v>414</v>
      </c>
      <c r="B623" t="s">
        <v>113</v>
      </c>
      <c r="C623" s="1" t="d">
        <v>2018-01-01</v>
      </c>
      <c r="D623">
        <v>5</v>
      </c>
      <c r="E623">
        <v>133</v>
      </c>
      <c r="F623">
        <v>665</v>
      </c>
      <c r="G623" s="2" t="s">
        <v>75</v>
      </c>
      <c r="H623" s="2" t="s">
        <v>422</v>
      </c>
      <c r="I623">
        <v>23</v>
      </c>
      <c r="J623">
        <v>8</v>
      </c>
      <c r="K623">
        <v>2</v>
      </c>
      <c r="L623">
        <f t="shared" si="18"/>
        <v>1.6094379124341003</v>
      </c>
      <c r="M623">
        <f t="shared" si="19"/>
        <v>4.8903491282217537</v>
      </c>
    </row>
    <row r="624" spans="1:13" x14ac:dyDescent="0.2">
      <c r="A624" t="s">
        <v>414</v>
      </c>
      <c r="B624" t="s">
        <v>113</v>
      </c>
      <c r="C624" s="1" t="d">
        <v>2018-02-01</v>
      </c>
      <c r="D624">
        <v>3</v>
      </c>
      <c r="E624">
        <v>132.97</v>
      </c>
      <c r="F624" s="2" t="s">
        <v>423</v>
      </c>
      <c r="G624" s="2" t="s">
        <v>75</v>
      </c>
      <c r="H624" s="2" t="s">
        <v>424</v>
      </c>
      <c r="I624">
        <v>20</v>
      </c>
      <c r="J624">
        <v>8</v>
      </c>
      <c r="K624">
        <v>2</v>
      </c>
      <c r="L624">
        <f t="shared" si="18"/>
        <v>1.0986122886681098</v>
      </c>
      <c r="M624">
        <f t="shared" si="19"/>
        <v>4.8901235388686146</v>
      </c>
    </row>
    <row r="625" spans="1:13" x14ac:dyDescent="0.2">
      <c r="A625" t="s">
        <v>425</v>
      </c>
      <c r="B625" t="s">
        <v>60</v>
      </c>
      <c r="C625" s="1" t="d">
        <v>2017-10-01</v>
      </c>
      <c r="D625">
        <v>1</v>
      </c>
      <c r="E625">
        <v>29.9</v>
      </c>
      <c r="F625">
        <v>29.9</v>
      </c>
      <c r="G625" s="2" t="s">
        <v>62</v>
      </c>
      <c r="H625" s="2" t="s">
        <v>426</v>
      </c>
      <c r="I625">
        <v>22</v>
      </c>
      <c r="J625">
        <v>9</v>
      </c>
      <c r="K625">
        <v>2</v>
      </c>
      <c r="L625">
        <f t="shared" si="18"/>
        <v>0</v>
      </c>
      <c r="M625">
        <f t="shared" si="19"/>
        <v>3.3978584803966405</v>
      </c>
    </row>
    <row r="626" spans="1:13" x14ac:dyDescent="0.2">
      <c r="A626" t="s">
        <v>425</v>
      </c>
      <c r="B626" t="s">
        <v>60</v>
      </c>
      <c r="C626" s="1" t="d">
        <v>2017-11-01</v>
      </c>
      <c r="D626">
        <v>6</v>
      </c>
      <c r="E626">
        <v>29.9</v>
      </c>
      <c r="F626" s="2" t="s">
        <v>427</v>
      </c>
      <c r="G626" s="2" t="s">
        <v>62</v>
      </c>
      <c r="H626" s="2" t="s">
        <v>426</v>
      </c>
      <c r="I626">
        <v>22</v>
      </c>
      <c r="J626">
        <v>8</v>
      </c>
      <c r="K626">
        <v>4</v>
      </c>
      <c r="L626">
        <f t="shared" si="18"/>
        <v>1.791759469228055</v>
      </c>
      <c r="M626">
        <f t="shared" si="19"/>
        <v>3.3978584803966405</v>
      </c>
    </row>
    <row r="627" spans="1:13" x14ac:dyDescent="0.2">
      <c r="A627" t="s">
        <v>425</v>
      </c>
      <c r="B627" t="s">
        <v>60</v>
      </c>
      <c r="C627" s="1" t="d">
        <v>2017-12-01</v>
      </c>
      <c r="D627">
        <v>6</v>
      </c>
      <c r="E627">
        <v>29.9</v>
      </c>
      <c r="F627" s="2" t="s">
        <v>427</v>
      </c>
      <c r="G627" s="2" t="s">
        <v>62</v>
      </c>
      <c r="H627" s="2" t="s">
        <v>426</v>
      </c>
      <c r="I627">
        <v>21</v>
      </c>
      <c r="J627">
        <v>10</v>
      </c>
      <c r="K627">
        <v>1</v>
      </c>
      <c r="L627">
        <f t="shared" si="18"/>
        <v>1.791759469228055</v>
      </c>
      <c r="M627">
        <f t="shared" si="19"/>
        <v>3.3978584803966405</v>
      </c>
    </row>
    <row r="628" spans="1:13" x14ac:dyDescent="0.2">
      <c r="A628" t="s">
        <v>425</v>
      </c>
      <c r="B628" t="s">
        <v>60</v>
      </c>
      <c r="C628" s="1" t="d">
        <v>2018-01-01</v>
      </c>
      <c r="D628">
        <v>15</v>
      </c>
      <c r="E628">
        <v>29.9</v>
      </c>
      <c r="F628">
        <v>448.5</v>
      </c>
      <c r="G628" s="2" t="s">
        <v>62</v>
      </c>
      <c r="H628" s="2" t="s">
        <v>426</v>
      </c>
      <c r="I628">
        <v>23</v>
      </c>
      <c r="J628">
        <v>8</v>
      </c>
      <c r="K628">
        <v>2</v>
      </c>
      <c r="L628">
        <f t="shared" si="18"/>
        <v>2.7080502011022101</v>
      </c>
      <c r="M628">
        <f t="shared" si="19"/>
        <v>3.3978584803966405</v>
      </c>
    </row>
    <row r="629" spans="1:13" x14ac:dyDescent="0.2">
      <c r="A629" t="s">
        <v>425</v>
      </c>
      <c r="B629" t="s">
        <v>60</v>
      </c>
      <c r="C629" s="1" t="d">
        <v>2018-02-01</v>
      </c>
      <c r="D629">
        <v>16</v>
      </c>
      <c r="E629">
        <v>29.9</v>
      </c>
      <c r="F629">
        <v>478.4</v>
      </c>
      <c r="G629" s="2" t="s">
        <v>62</v>
      </c>
      <c r="H629" s="2" t="s">
        <v>426</v>
      </c>
      <c r="I629">
        <v>20</v>
      </c>
      <c r="J629">
        <v>8</v>
      </c>
      <c r="K629">
        <v>2</v>
      </c>
      <c r="L629">
        <f t="shared" si="18"/>
        <v>2.7725887222397811</v>
      </c>
      <c r="M629">
        <f t="shared" si="19"/>
        <v>3.3978584803966405</v>
      </c>
    </row>
    <row r="630" spans="1:13" x14ac:dyDescent="0.2">
      <c r="A630" t="s">
        <v>425</v>
      </c>
      <c r="B630" t="s">
        <v>60</v>
      </c>
      <c r="C630" s="1" t="d">
        <v>2018-03-01</v>
      </c>
      <c r="D630">
        <v>11</v>
      </c>
      <c r="E630">
        <v>29.9</v>
      </c>
      <c r="F630">
        <v>328.9</v>
      </c>
      <c r="G630" s="2" t="s">
        <v>62</v>
      </c>
      <c r="H630" s="2" t="s">
        <v>426</v>
      </c>
      <c r="I630">
        <v>22</v>
      </c>
      <c r="J630">
        <v>9</v>
      </c>
      <c r="K630">
        <v>1</v>
      </c>
      <c r="L630">
        <f t="shared" si="18"/>
        <v>2.3978952727983707</v>
      </c>
      <c r="M630">
        <f t="shared" si="19"/>
        <v>3.3978584803966405</v>
      </c>
    </row>
    <row r="631" spans="1:13" x14ac:dyDescent="0.2">
      <c r="A631" t="s">
        <v>425</v>
      </c>
      <c r="B631" t="s">
        <v>60</v>
      </c>
      <c r="C631" s="1" t="d">
        <v>2018-04-01</v>
      </c>
      <c r="D631">
        <v>22</v>
      </c>
      <c r="E631">
        <v>29.9</v>
      </c>
      <c r="F631">
        <v>657.8</v>
      </c>
      <c r="G631">
        <v>4.2</v>
      </c>
      <c r="H631" s="2" t="s">
        <v>428</v>
      </c>
      <c r="I631">
        <v>21</v>
      </c>
      <c r="J631">
        <v>9</v>
      </c>
      <c r="K631">
        <v>1</v>
      </c>
      <c r="L631">
        <f t="shared" si="18"/>
        <v>3.0910424533583161</v>
      </c>
      <c r="M631">
        <f t="shared" si="19"/>
        <v>3.3978584803966405</v>
      </c>
    </row>
    <row r="632" spans="1:13" x14ac:dyDescent="0.2">
      <c r="A632" t="s">
        <v>425</v>
      </c>
      <c r="B632" t="s">
        <v>60</v>
      </c>
      <c r="C632" s="1" t="d">
        <v>2018-05-01</v>
      </c>
      <c r="D632">
        <v>22</v>
      </c>
      <c r="E632">
        <v>29.9</v>
      </c>
      <c r="F632">
        <v>657.8</v>
      </c>
      <c r="G632" s="2" t="s">
        <v>62</v>
      </c>
      <c r="H632" s="2" t="s">
        <v>426</v>
      </c>
      <c r="I632">
        <v>23</v>
      </c>
      <c r="J632">
        <v>8</v>
      </c>
      <c r="K632">
        <v>3</v>
      </c>
      <c r="L632">
        <f t="shared" si="18"/>
        <v>3.0910424533583161</v>
      </c>
      <c r="M632">
        <f t="shared" si="19"/>
        <v>3.3978584803966405</v>
      </c>
    </row>
    <row r="633" spans="1:13" x14ac:dyDescent="0.2">
      <c r="A633" t="s">
        <v>425</v>
      </c>
      <c r="B633" t="s">
        <v>60</v>
      </c>
      <c r="C633" s="1" t="d">
        <v>2018-06-01</v>
      </c>
      <c r="D633">
        <v>7</v>
      </c>
      <c r="E633">
        <v>29.9</v>
      </c>
      <c r="F633" s="2" t="s">
        <v>429</v>
      </c>
      <c r="G633" s="2" t="s">
        <v>62</v>
      </c>
      <c r="H633" s="2" t="s">
        <v>426</v>
      </c>
      <c r="I633">
        <v>21</v>
      </c>
      <c r="J633">
        <v>9</v>
      </c>
      <c r="K633">
        <v>0</v>
      </c>
      <c r="L633">
        <f t="shared" si="18"/>
        <v>1.9459101490553132</v>
      </c>
      <c r="M633">
        <f t="shared" si="19"/>
        <v>3.3978584803966405</v>
      </c>
    </row>
    <row r="634" spans="1:13" x14ac:dyDescent="0.2">
      <c r="A634" t="s">
        <v>425</v>
      </c>
      <c r="B634" t="s">
        <v>60</v>
      </c>
      <c r="C634" s="1" t="d">
        <v>2018-07-01</v>
      </c>
      <c r="D634">
        <v>18</v>
      </c>
      <c r="E634">
        <v>29.9</v>
      </c>
      <c r="F634" s="2" t="s">
        <v>430</v>
      </c>
      <c r="G634" s="2" t="s">
        <v>62</v>
      </c>
      <c r="H634" s="2" t="s">
        <v>426</v>
      </c>
      <c r="I634">
        <v>22</v>
      </c>
      <c r="J634">
        <v>9</v>
      </c>
      <c r="K634">
        <v>1</v>
      </c>
      <c r="L634">
        <f t="shared" si="18"/>
        <v>2.8903717578961645</v>
      </c>
      <c r="M634">
        <f t="shared" si="19"/>
        <v>3.3978584803966405</v>
      </c>
    </row>
    <row r="635" spans="1:13" x14ac:dyDescent="0.2">
      <c r="A635" t="s">
        <v>425</v>
      </c>
      <c r="B635" t="s">
        <v>60</v>
      </c>
      <c r="C635" s="1" t="d">
        <v>2018-08-01</v>
      </c>
      <c r="D635">
        <v>13</v>
      </c>
      <c r="E635">
        <v>29.9</v>
      </c>
      <c r="F635">
        <v>388.7</v>
      </c>
      <c r="G635" s="2" t="s">
        <v>62</v>
      </c>
      <c r="H635" s="2" t="s">
        <v>426</v>
      </c>
      <c r="I635">
        <v>23</v>
      </c>
      <c r="J635">
        <v>8</v>
      </c>
      <c r="K635">
        <v>1</v>
      </c>
      <c r="L635">
        <f t="shared" si="18"/>
        <v>2.5649493574615367</v>
      </c>
      <c r="M635">
        <f t="shared" si="19"/>
        <v>3.3978584803966405</v>
      </c>
    </row>
    <row r="636" spans="1:13" x14ac:dyDescent="0.2">
      <c r="A636" t="s">
        <v>431</v>
      </c>
      <c r="B636" t="s">
        <v>156</v>
      </c>
      <c r="C636" s="1" t="d">
        <v>2017-03-01</v>
      </c>
      <c r="D636">
        <v>5</v>
      </c>
      <c r="E636">
        <v>241.006</v>
      </c>
      <c r="F636">
        <v>1205.03</v>
      </c>
      <c r="G636" s="2" t="s">
        <v>432</v>
      </c>
      <c r="H636" s="2" t="s">
        <v>433</v>
      </c>
      <c r="I636">
        <v>23</v>
      </c>
      <c r="J636">
        <v>8</v>
      </c>
      <c r="K636">
        <v>1</v>
      </c>
      <c r="L636">
        <f t="shared" si="18"/>
        <v>1.6094379124341003</v>
      </c>
      <c r="M636">
        <f t="shared" si="19"/>
        <v>5.4848218294463083</v>
      </c>
    </row>
    <row r="637" spans="1:13" x14ac:dyDescent="0.2">
      <c r="A637" t="s">
        <v>431</v>
      </c>
      <c r="B637" t="s">
        <v>156</v>
      </c>
      <c r="C637" s="1" t="d">
        <v>2017-04-01</v>
      </c>
      <c r="D637">
        <v>3</v>
      </c>
      <c r="E637">
        <v>255.61</v>
      </c>
      <c r="F637">
        <v>766.83</v>
      </c>
      <c r="G637" s="2" t="s">
        <v>432</v>
      </c>
      <c r="H637" s="2" t="s">
        <v>434</v>
      </c>
      <c r="I637">
        <v>20</v>
      </c>
      <c r="J637">
        <v>10</v>
      </c>
      <c r="K637">
        <v>2</v>
      </c>
      <c r="L637">
        <f t="shared" si="18"/>
        <v>1.0986122886681098</v>
      </c>
      <c r="M637">
        <f t="shared" si="19"/>
        <v>5.5436528453687437</v>
      </c>
    </row>
    <row r="638" spans="1:13" x14ac:dyDescent="0.2">
      <c r="A638" t="s">
        <v>431</v>
      </c>
      <c r="B638" t="s">
        <v>156</v>
      </c>
      <c r="C638" s="1" t="d">
        <v>2017-06-01</v>
      </c>
      <c r="D638">
        <v>5</v>
      </c>
      <c r="E638">
        <v>185</v>
      </c>
      <c r="F638">
        <v>925</v>
      </c>
      <c r="G638">
        <v>4</v>
      </c>
      <c r="H638">
        <v>46.25</v>
      </c>
      <c r="I638">
        <v>22</v>
      </c>
      <c r="J638">
        <v>8</v>
      </c>
      <c r="K638">
        <v>1</v>
      </c>
      <c r="L638">
        <f t="shared" si="18"/>
        <v>1.6094379124341003</v>
      </c>
      <c r="M638">
        <f t="shared" si="19"/>
        <v>5.2203558250783244</v>
      </c>
    </row>
    <row r="639" spans="1:13" x14ac:dyDescent="0.2">
      <c r="A639" t="s">
        <v>431</v>
      </c>
      <c r="B639" t="s">
        <v>156</v>
      </c>
      <c r="C639" s="1" t="d">
        <v>2017-07-01</v>
      </c>
      <c r="D639">
        <v>10</v>
      </c>
      <c r="E639">
        <v>197.38300000000001</v>
      </c>
      <c r="F639" s="2" t="s">
        <v>435</v>
      </c>
      <c r="G639">
        <v>4</v>
      </c>
      <c r="H639">
        <v>49.345750000000002</v>
      </c>
      <c r="I639">
        <v>21</v>
      </c>
      <c r="J639">
        <v>10</v>
      </c>
      <c r="K639">
        <v>1</v>
      </c>
      <c r="L639">
        <f t="shared" si="18"/>
        <v>2.3025850929940459</v>
      </c>
      <c r="M639">
        <f t="shared" si="19"/>
        <v>5.2851460037366751</v>
      </c>
    </row>
    <row r="640" spans="1:13" x14ac:dyDescent="0.2">
      <c r="A640" t="s">
        <v>431</v>
      </c>
      <c r="B640" t="s">
        <v>156</v>
      </c>
      <c r="C640" s="1" t="d">
        <v>2017-08-01</v>
      </c>
      <c r="D640">
        <v>15</v>
      </c>
      <c r="E640">
        <v>179.9</v>
      </c>
      <c r="F640">
        <v>2698.5</v>
      </c>
      <c r="G640">
        <v>4</v>
      </c>
      <c r="H640">
        <v>44.975000000000001</v>
      </c>
      <c r="I640">
        <v>23</v>
      </c>
      <c r="J640">
        <v>8</v>
      </c>
      <c r="K640">
        <v>1</v>
      </c>
      <c r="L640">
        <f t="shared" si="18"/>
        <v>2.7080502011022101</v>
      </c>
      <c r="M640">
        <f t="shared" si="19"/>
        <v>5.1924011409564876</v>
      </c>
    </row>
    <row r="641" spans="1:13" x14ac:dyDescent="0.2">
      <c r="A641" t="s">
        <v>431</v>
      </c>
      <c r="B641" t="s">
        <v>156</v>
      </c>
      <c r="C641" s="1" t="d">
        <v>2017-09-01</v>
      </c>
      <c r="D641">
        <v>20</v>
      </c>
      <c r="E641">
        <v>164.57</v>
      </c>
      <c r="F641" s="2" t="s">
        <v>436</v>
      </c>
      <c r="G641">
        <v>4</v>
      </c>
      <c r="H641">
        <v>41.142499999999998</v>
      </c>
      <c r="I641">
        <v>21</v>
      </c>
      <c r="J641">
        <v>9</v>
      </c>
      <c r="K641">
        <v>1</v>
      </c>
      <c r="L641">
        <f t="shared" si="18"/>
        <v>2.9957322735539909</v>
      </c>
      <c r="M641">
        <f t="shared" si="19"/>
        <v>5.1033360116072917</v>
      </c>
    </row>
    <row r="642" spans="1:13" x14ac:dyDescent="0.2">
      <c r="A642" t="s">
        <v>431</v>
      </c>
      <c r="B642" t="s">
        <v>156</v>
      </c>
      <c r="C642" s="1" t="d">
        <v>2017-10-01</v>
      </c>
      <c r="D642">
        <v>4</v>
      </c>
      <c r="E642">
        <v>232.49</v>
      </c>
      <c r="F642">
        <v>929.96</v>
      </c>
      <c r="G642">
        <v>4</v>
      </c>
      <c r="H642">
        <v>58.122500000000002</v>
      </c>
      <c r="I642">
        <v>22</v>
      </c>
      <c r="J642">
        <v>9</v>
      </c>
      <c r="K642">
        <v>2</v>
      </c>
      <c r="L642">
        <f t="shared" si="18"/>
        <v>1.3862943611198906</v>
      </c>
      <c r="M642">
        <f t="shared" si="19"/>
        <v>5.4488472133497341</v>
      </c>
    </row>
    <row r="643" spans="1:13" x14ac:dyDescent="0.2">
      <c r="A643" t="s">
        <v>431</v>
      </c>
      <c r="B643" t="s">
        <v>156</v>
      </c>
      <c r="C643" s="1" t="d">
        <v>2017-11-01</v>
      </c>
      <c r="D643">
        <v>18</v>
      </c>
      <c r="E643">
        <v>174.43333329999999</v>
      </c>
      <c r="F643" s="2" t="s">
        <v>437</v>
      </c>
      <c r="G643" s="2" t="s">
        <v>47</v>
      </c>
      <c r="H643" s="2" t="s">
        <v>438</v>
      </c>
      <c r="I643">
        <v>22</v>
      </c>
      <c r="J643">
        <v>8</v>
      </c>
      <c r="K643">
        <v>4</v>
      </c>
      <c r="L643">
        <f t="shared" ref="L643:L677" si="20">IF(D643&gt;0, LN(D643), "")</f>
        <v>2.8903717578961645</v>
      </c>
      <c r="M643">
        <f t="shared" ref="M643:M677" si="21">LN(E643)</f>
        <v>5.1615426245189573</v>
      </c>
    </row>
    <row r="644" spans="1:13" x14ac:dyDescent="0.2">
      <c r="A644" t="s">
        <v>431</v>
      </c>
      <c r="B644" t="s">
        <v>156</v>
      </c>
      <c r="C644" s="1" t="d">
        <v>2017-12-01</v>
      </c>
      <c r="D644">
        <v>5</v>
      </c>
      <c r="E644">
        <v>185.96</v>
      </c>
      <c r="F644" s="2" t="s">
        <v>439</v>
      </c>
      <c r="G644" s="2" t="s">
        <v>47</v>
      </c>
      <c r="H644" s="2" t="s">
        <v>440</v>
      </c>
      <c r="I644">
        <v>21</v>
      </c>
      <c r="J644">
        <v>10</v>
      </c>
      <c r="K644">
        <v>1</v>
      </c>
      <c r="L644">
        <f t="shared" si="20"/>
        <v>1.6094379124341003</v>
      </c>
      <c r="M644">
        <f t="shared" si="21"/>
        <v>5.2255315968223837</v>
      </c>
    </row>
    <row r="645" spans="1:13" x14ac:dyDescent="0.2">
      <c r="A645" t="s">
        <v>431</v>
      </c>
      <c r="B645" t="s">
        <v>156</v>
      </c>
      <c r="C645" s="1" t="d">
        <v>2018-01-01</v>
      </c>
      <c r="D645">
        <v>2</v>
      </c>
      <c r="E645">
        <v>199</v>
      </c>
      <c r="F645">
        <v>398</v>
      </c>
      <c r="G645">
        <v>4</v>
      </c>
      <c r="H645">
        <v>49.75</v>
      </c>
      <c r="I645">
        <v>23</v>
      </c>
      <c r="J645">
        <v>8</v>
      </c>
      <c r="K645">
        <v>2</v>
      </c>
      <c r="L645">
        <f t="shared" si="20"/>
        <v>0.69314718055994529</v>
      </c>
      <c r="M645">
        <f t="shared" si="21"/>
        <v>5.2933048247244923</v>
      </c>
    </row>
    <row r="646" spans="1:13" x14ac:dyDescent="0.2">
      <c r="A646" t="s">
        <v>431</v>
      </c>
      <c r="B646" t="s">
        <v>156</v>
      </c>
      <c r="C646" s="1" t="d">
        <v>2018-02-01</v>
      </c>
      <c r="D646">
        <v>6</v>
      </c>
      <c r="E646">
        <v>182</v>
      </c>
      <c r="F646">
        <v>1092</v>
      </c>
      <c r="G646" s="2" t="s">
        <v>47</v>
      </c>
      <c r="H646" s="2" t="s">
        <v>441</v>
      </c>
      <c r="I646">
        <v>20</v>
      </c>
      <c r="J646">
        <v>8</v>
      </c>
      <c r="K646">
        <v>2</v>
      </c>
      <c r="L646">
        <f t="shared" si="20"/>
        <v>1.791759469228055</v>
      </c>
      <c r="M646">
        <f t="shared" si="21"/>
        <v>5.2040066870767951</v>
      </c>
    </row>
    <row r="647" spans="1:13" x14ac:dyDescent="0.2">
      <c r="A647" t="s">
        <v>431</v>
      </c>
      <c r="B647" t="s">
        <v>156</v>
      </c>
      <c r="C647" s="1" t="d">
        <v>2018-03-01</v>
      </c>
      <c r="D647">
        <v>32</v>
      </c>
      <c r="E647">
        <v>151.87843749999999</v>
      </c>
      <c r="F647">
        <v>4860.1099999999997</v>
      </c>
      <c r="G647" s="2" t="s">
        <v>47</v>
      </c>
      <c r="H647" s="2" t="s">
        <v>442</v>
      </c>
      <c r="I647">
        <v>22</v>
      </c>
      <c r="J647">
        <v>9</v>
      </c>
      <c r="K647">
        <v>1</v>
      </c>
      <c r="L647">
        <f t="shared" si="20"/>
        <v>3.4657359027997265</v>
      </c>
      <c r="M647">
        <f t="shared" si="21"/>
        <v>5.0230804475835296</v>
      </c>
    </row>
    <row r="648" spans="1:13" x14ac:dyDescent="0.2">
      <c r="A648" t="s">
        <v>431</v>
      </c>
      <c r="B648" t="s">
        <v>156</v>
      </c>
      <c r="C648" s="1" t="d">
        <v>2018-04-01</v>
      </c>
      <c r="D648">
        <v>9</v>
      </c>
      <c r="E648">
        <v>150.1333333</v>
      </c>
      <c r="F648">
        <v>1351.1999997</v>
      </c>
      <c r="G648" s="2" t="s">
        <v>47</v>
      </c>
      <c r="H648" s="2" t="s">
        <v>443</v>
      </c>
      <c r="I648">
        <v>21</v>
      </c>
      <c r="J648">
        <v>9</v>
      </c>
      <c r="K648">
        <v>1</v>
      </c>
      <c r="L648">
        <f t="shared" si="20"/>
        <v>2.1972245773362196</v>
      </c>
      <c r="M648">
        <f t="shared" si="21"/>
        <v>5.0115237879353458</v>
      </c>
    </row>
    <row r="649" spans="1:13" x14ac:dyDescent="0.2">
      <c r="A649" t="s">
        <v>431</v>
      </c>
      <c r="B649" t="s">
        <v>156</v>
      </c>
      <c r="C649" s="1" t="d">
        <v>2018-05-01</v>
      </c>
      <c r="D649">
        <v>32</v>
      </c>
      <c r="E649">
        <v>132.53125</v>
      </c>
      <c r="F649">
        <v>4241</v>
      </c>
      <c r="G649" s="2" t="s">
        <v>47</v>
      </c>
      <c r="H649" s="2" t="s">
        <v>444</v>
      </c>
      <c r="I649">
        <v>23</v>
      </c>
      <c r="J649">
        <v>8</v>
      </c>
      <c r="K649">
        <v>3</v>
      </c>
      <c r="L649">
        <f t="shared" si="20"/>
        <v>3.4657359027997265</v>
      </c>
      <c r="M649">
        <f t="shared" si="21"/>
        <v>4.886818466674864</v>
      </c>
    </row>
    <row r="650" spans="1:13" x14ac:dyDescent="0.2">
      <c r="A650" t="s">
        <v>431</v>
      </c>
      <c r="B650" t="s">
        <v>156</v>
      </c>
      <c r="C650" s="1" t="d">
        <v>2018-06-01</v>
      </c>
      <c r="D650">
        <v>15</v>
      </c>
      <c r="E650">
        <v>138.22</v>
      </c>
      <c r="F650">
        <v>2073.3000000000002</v>
      </c>
      <c r="G650" s="2" t="s">
        <v>47</v>
      </c>
      <c r="H650" s="2" t="s">
        <v>445</v>
      </c>
      <c r="I650">
        <v>21</v>
      </c>
      <c r="J650">
        <v>9</v>
      </c>
      <c r="K650">
        <v>0</v>
      </c>
      <c r="L650">
        <f t="shared" si="20"/>
        <v>2.7080502011022101</v>
      </c>
      <c r="M650">
        <f t="shared" si="21"/>
        <v>4.9288466186632487</v>
      </c>
    </row>
    <row r="651" spans="1:13" x14ac:dyDescent="0.2">
      <c r="A651" t="s">
        <v>431</v>
      </c>
      <c r="B651" t="s">
        <v>156</v>
      </c>
      <c r="C651" s="1" t="d">
        <v>2018-07-01</v>
      </c>
      <c r="D651">
        <v>2</v>
      </c>
      <c r="E651">
        <v>155</v>
      </c>
      <c r="F651">
        <v>310</v>
      </c>
      <c r="G651" s="2" t="s">
        <v>47</v>
      </c>
      <c r="H651" s="2" t="s">
        <v>446</v>
      </c>
      <c r="I651">
        <v>22</v>
      </c>
      <c r="J651">
        <v>9</v>
      </c>
      <c r="K651">
        <v>1</v>
      </c>
      <c r="L651">
        <f t="shared" si="20"/>
        <v>0.69314718055994529</v>
      </c>
      <c r="M651">
        <f t="shared" si="21"/>
        <v>5.0434251169192468</v>
      </c>
    </row>
    <row r="652" spans="1:13" x14ac:dyDescent="0.2">
      <c r="A652" t="s">
        <v>431</v>
      </c>
      <c r="B652" t="s">
        <v>156</v>
      </c>
      <c r="C652" s="1" t="d">
        <v>2018-08-01</v>
      </c>
      <c r="D652">
        <v>11</v>
      </c>
      <c r="E652">
        <v>145.55090910000001</v>
      </c>
      <c r="F652" s="2" t="s">
        <v>447</v>
      </c>
      <c r="G652" s="2" t="s">
        <v>47</v>
      </c>
      <c r="H652" s="2" t="s">
        <v>448</v>
      </c>
      <c r="I652">
        <v>23</v>
      </c>
      <c r="J652">
        <v>8</v>
      </c>
      <c r="K652">
        <v>1</v>
      </c>
      <c r="L652">
        <f t="shared" si="20"/>
        <v>2.3978952727983707</v>
      </c>
      <c r="M652">
        <f t="shared" si="21"/>
        <v>4.9805259161357132</v>
      </c>
    </row>
    <row r="653" spans="1:13" x14ac:dyDescent="0.2">
      <c r="A653" t="s">
        <v>449</v>
      </c>
      <c r="B653" t="s">
        <v>113</v>
      </c>
      <c r="C653" s="1" t="d">
        <v>2017-11-01</v>
      </c>
      <c r="D653">
        <v>1</v>
      </c>
      <c r="E653">
        <v>109.9</v>
      </c>
      <c r="F653">
        <v>109.9</v>
      </c>
      <c r="G653">
        <v>3.9</v>
      </c>
      <c r="H653" s="2" t="s">
        <v>450</v>
      </c>
      <c r="I653">
        <v>22</v>
      </c>
      <c r="J653">
        <v>8</v>
      </c>
      <c r="K653">
        <v>4</v>
      </c>
      <c r="L653">
        <f t="shared" si="20"/>
        <v>0</v>
      </c>
      <c r="M653">
        <f t="shared" si="21"/>
        <v>4.6995708614095761</v>
      </c>
    </row>
    <row r="654" spans="1:13" x14ac:dyDescent="0.2">
      <c r="A654" t="s">
        <v>449</v>
      </c>
      <c r="B654" t="s">
        <v>113</v>
      </c>
      <c r="C654" s="1" t="d">
        <v>2017-12-01</v>
      </c>
      <c r="D654">
        <v>12</v>
      </c>
      <c r="E654">
        <v>109.9</v>
      </c>
      <c r="F654" s="2" t="s">
        <v>451</v>
      </c>
      <c r="G654">
        <v>3.9</v>
      </c>
      <c r="H654" s="2" t="s">
        <v>450</v>
      </c>
      <c r="I654">
        <v>21</v>
      </c>
      <c r="J654">
        <v>10</v>
      </c>
      <c r="K654">
        <v>1</v>
      </c>
      <c r="L654">
        <f t="shared" si="20"/>
        <v>2.4849066497880004</v>
      </c>
      <c r="M654">
        <f t="shared" si="21"/>
        <v>4.6995708614095761</v>
      </c>
    </row>
    <row r="655" spans="1:13" x14ac:dyDescent="0.2">
      <c r="A655" t="s">
        <v>449</v>
      </c>
      <c r="B655" t="s">
        <v>113</v>
      </c>
      <c r="C655" s="1" t="d">
        <v>2018-01-01</v>
      </c>
      <c r="D655">
        <v>29</v>
      </c>
      <c r="E655">
        <v>97.642499999999998</v>
      </c>
      <c r="F655">
        <v>2831.6325000000002</v>
      </c>
      <c r="G655" s="2" t="s">
        <v>75</v>
      </c>
      <c r="H655" s="2" t="s">
        <v>452</v>
      </c>
      <c r="I655">
        <v>23</v>
      </c>
      <c r="J655">
        <v>8</v>
      </c>
      <c r="K655">
        <v>2</v>
      </c>
      <c r="L655">
        <f t="shared" si="20"/>
        <v>3.3672958299864741</v>
      </c>
      <c r="M655">
        <f t="shared" si="21"/>
        <v>4.5813128494575244</v>
      </c>
    </row>
    <row r="656" spans="1:13" x14ac:dyDescent="0.2">
      <c r="A656" t="s">
        <v>449</v>
      </c>
      <c r="B656" t="s">
        <v>113</v>
      </c>
      <c r="C656" s="1" t="d">
        <v>2018-02-01</v>
      </c>
      <c r="D656">
        <v>71</v>
      </c>
      <c r="E656">
        <v>78.712280699999994</v>
      </c>
      <c r="F656">
        <v>5588.5719296999996</v>
      </c>
      <c r="G656" s="2" t="s">
        <v>75</v>
      </c>
      <c r="H656" s="2" t="s">
        <v>453</v>
      </c>
      <c r="I656">
        <v>20</v>
      </c>
      <c r="J656">
        <v>8</v>
      </c>
      <c r="K656">
        <v>2</v>
      </c>
      <c r="L656">
        <f t="shared" si="20"/>
        <v>4.2626798770413155</v>
      </c>
      <c r="M656">
        <f t="shared" si="21"/>
        <v>4.3657991877223665</v>
      </c>
    </row>
    <row r="657" spans="1:13" x14ac:dyDescent="0.2">
      <c r="A657" t="s">
        <v>449</v>
      </c>
      <c r="B657" t="s">
        <v>113</v>
      </c>
      <c r="C657" s="1" t="d">
        <v>2018-03-01</v>
      </c>
      <c r="D657">
        <v>27</v>
      </c>
      <c r="E657">
        <v>81.023913039999996</v>
      </c>
      <c r="F657" s="2" t="s">
        <v>454</v>
      </c>
      <c r="G657" s="2" t="s">
        <v>75</v>
      </c>
      <c r="H657" s="2" t="s">
        <v>455</v>
      </c>
      <c r="I657">
        <v>22</v>
      </c>
      <c r="J657">
        <v>9</v>
      </c>
      <c r="K657">
        <v>1</v>
      </c>
      <c r="L657">
        <f t="shared" si="20"/>
        <v>3.2958368660043291</v>
      </c>
      <c r="M657">
        <f t="shared" si="21"/>
        <v>4.3947443338188368</v>
      </c>
    </row>
    <row r="658" spans="1:13" x14ac:dyDescent="0.2">
      <c r="A658" t="s">
        <v>449</v>
      </c>
      <c r="B658" t="s">
        <v>113</v>
      </c>
      <c r="C658" s="1" t="d">
        <v>2018-04-01</v>
      </c>
      <c r="D658">
        <v>13</v>
      </c>
      <c r="E658">
        <v>80.666666669999998</v>
      </c>
      <c r="F658">
        <v>1048.6666667100001</v>
      </c>
      <c r="G658" s="2" t="s">
        <v>75</v>
      </c>
      <c r="H658">
        <v>19.360000000799999</v>
      </c>
      <c r="I658">
        <v>21</v>
      </c>
      <c r="J658">
        <v>9</v>
      </c>
      <c r="K658">
        <v>1</v>
      </c>
      <c r="L658">
        <f t="shared" si="20"/>
        <v>2.5649493574615367</v>
      </c>
      <c r="M658">
        <f t="shared" si="21"/>
        <v>4.3903254375298992</v>
      </c>
    </row>
    <row r="659" spans="1:13" x14ac:dyDescent="0.2">
      <c r="A659" t="s">
        <v>449</v>
      </c>
      <c r="B659" t="s">
        <v>113</v>
      </c>
      <c r="C659" s="1" t="d">
        <v>2018-05-01</v>
      </c>
      <c r="D659">
        <v>11</v>
      </c>
      <c r="E659">
        <v>79.8</v>
      </c>
      <c r="F659">
        <v>877.8</v>
      </c>
      <c r="G659" s="2" t="s">
        <v>75</v>
      </c>
      <c r="H659" s="2" t="s">
        <v>456</v>
      </c>
      <c r="I659">
        <v>23</v>
      </c>
      <c r="J659">
        <v>8</v>
      </c>
      <c r="K659">
        <v>3</v>
      </c>
      <c r="L659">
        <f t="shared" si="20"/>
        <v>2.3978952727983707</v>
      </c>
      <c r="M659">
        <f t="shared" si="21"/>
        <v>4.3795235044557632</v>
      </c>
    </row>
    <row r="660" spans="1:13" x14ac:dyDescent="0.2">
      <c r="A660" t="s">
        <v>449</v>
      </c>
      <c r="B660" t="s">
        <v>113</v>
      </c>
      <c r="C660" s="1" t="d">
        <v>2018-06-01</v>
      </c>
      <c r="D660">
        <v>10</v>
      </c>
      <c r="E660">
        <v>78.900000000000006</v>
      </c>
      <c r="F660">
        <v>789</v>
      </c>
      <c r="G660" s="2" t="s">
        <v>75</v>
      </c>
      <c r="H660">
        <v>18.936</v>
      </c>
      <c r="I660">
        <v>21</v>
      </c>
      <c r="J660">
        <v>9</v>
      </c>
      <c r="K660">
        <v>0</v>
      </c>
      <c r="L660">
        <f t="shared" si="20"/>
        <v>2.3025850929940459</v>
      </c>
      <c r="M660">
        <f t="shared" si="21"/>
        <v>4.3681812278518288</v>
      </c>
    </row>
    <row r="661" spans="1:13" x14ac:dyDescent="0.2">
      <c r="A661" t="s">
        <v>449</v>
      </c>
      <c r="B661" t="s">
        <v>113</v>
      </c>
      <c r="C661" s="1" t="d">
        <v>2018-07-01</v>
      </c>
      <c r="D661">
        <v>7</v>
      </c>
      <c r="E661">
        <v>77.900000000000006</v>
      </c>
      <c r="F661" s="2" t="s">
        <v>457</v>
      </c>
      <c r="G661" s="2" t="s">
        <v>75</v>
      </c>
      <c r="H661">
        <v>18.696000000000002</v>
      </c>
      <c r="I661">
        <v>22</v>
      </c>
      <c r="J661">
        <v>9</v>
      </c>
      <c r="K661">
        <v>1</v>
      </c>
      <c r="L661">
        <f t="shared" si="20"/>
        <v>1.9459101490553132</v>
      </c>
      <c r="M661">
        <f t="shared" si="21"/>
        <v>4.3554259528767023</v>
      </c>
    </row>
    <row r="662" spans="1:13" x14ac:dyDescent="0.2">
      <c r="A662" t="s">
        <v>449</v>
      </c>
      <c r="B662" t="s">
        <v>113</v>
      </c>
      <c r="C662" s="1" t="d">
        <v>2018-08-01</v>
      </c>
      <c r="D662">
        <v>2</v>
      </c>
      <c r="E662">
        <v>77.900000000000006</v>
      </c>
      <c r="F662">
        <v>155.80000000000001</v>
      </c>
      <c r="G662" s="2" t="s">
        <v>75</v>
      </c>
      <c r="H662">
        <v>18.696000000000002</v>
      </c>
      <c r="I662">
        <v>23</v>
      </c>
      <c r="J662">
        <v>8</v>
      </c>
      <c r="K662">
        <v>1</v>
      </c>
      <c r="L662">
        <f t="shared" si="20"/>
        <v>0.69314718055994529</v>
      </c>
      <c r="M662">
        <f t="shared" si="21"/>
        <v>4.3554259528767023</v>
      </c>
    </row>
    <row r="663" spans="1:13" x14ac:dyDescent="0.2">
      <c r="A663" t="s">
        <v>458</v>
      </c>
      <c r="B663" t="s">
        <v>12</v>
      </c>
      <c r="C663" s="1" t="d">
        <v>2017-10-01</v>
      </c>
      <c r="D663">
        <v>29</v>
      </c>
      <c r="E663">
        <v>45.9</v>
      </c>
      <c r="F663">
        <v>1331.1</v>
      </c>
      <c r="G663" s="2" t="s">
        <v>39</v>
      </c>
      <c r="H663" s="2" t="s">
        <v>459</v>
      </c>
      <c r="I663">
        <v>22</v>
      </c>
      <c r="J663">
        <v>9</v>
      </c>
      <c r="K663">
        <v>2</v>
      </c>
      <c r="L663">
        <f t="shared" si="20"/>
        <v>3.3672958299864741</v>
      </c>
      <c r="M663">
        <f t="shared" si="21"/>
        <v>3.8264651170664994</v>
      </c>
    </row>
    <row r="664" spans="1:13" x14ac:dyDescent="0.2">
      <c r="A664" t="s">
        <v>458</v>
      </c>
      <c r="B664" t="s">
        <v>12</v>
      </c>
      <c r="C664" s="1" t="d">
        <v>2017-11-01</v>
      </c>
      <c r="D664">
        <v>32</v>
      </c>
      <c r="E664">
        <v>44.154444439999999</v>
      </c>
      <c r="F664">
        <v>1412.94222208</v>
      </c>
      <c r="G664" s="2" t="s">
        <v>39</v>
      </c>
      <c r="H664" s="2" t="s">
        <v>460</v>
      </c>
      <c r="I664">
        <v>22</v>
      </c>
      <c r="J664">
        <v>8</v>
      </c>
      <c r="K664">
        <v>4</v>
      </c>
      <c r="L664">
        <f t="shared" si="20"/>
        <v>3.4657359027997265</v>
      </c>
      <c r="M664">
        <f t="shared" si="21"/>
        <v>3.7876935888010719</v>
      </c>
    </row>
    <row r="665" spans="1:13" x14ac:dyDescent="0.2">
      <c r="A665" t="s">
        <v>458</v>
      </c>
      <c r="B665" t="s">
        <v>12</v>
      </c>
      <c r="C665" s="1" t="d">
        <v>2017-12-01</v>
      </c>
      <c r="D665">
        <v>12</v>
      </c>
      <c r="E665">
        <v>45.9</v>
      </c>
      <c r="F665">
        <v>550.79999999999995</v>
      </c>
      <c r="G665" s="2" t="s">
        <v>39</v>
      </c>
      <c r="H665" s="2" t="s">
        <v>459</v>
      </c>
      <c r="I665">
        <v>21</v>
      </c>
      <c r="J665">
        <v>10</v>
      </c>
      <c r="K665">
        <v>1</v>
      </c>
      <c r="L665">
        <f t="shared" si="20"/>
        <v>2.4849066497880004</v>
      </c>
      <c r="M665">
        <f t="shared" si="21"/>
        <v>3.8264651170664994</v>
      </c>
    </row>
    <row r="666" spans="1:13" x14ac:dyDescent="0.2">
      <c r="A666" t="s">
        <v>458</v>
      </c>
      <c r="B666" t="s">
        <v>12</v>
      </c>
      <c r="C666" s="1" t="d">
        <v>2018-01-01</v>
      </c>
      <c r="D666">
        <v>19</v>
      </c>
      <c r="E666">
        <v>45.9</v>
      </c>
      <c r="F666">
        <v>872.1</v>
      </c>
      <c r="G666" s="2" t="s">
        <v>39</v>
      </c>
      <c r="H666" s="2" t="s">
        <v>459</v>
      </c>
      <c r="I666">
        <v>23</v>
      </c>
      <c r="J666">
        <v>8</v>
      </c>
      <c r="K666">
        <v>2</v>
      </c>
      <c r="L666">
        <f t="shared" si="20"/>
        <v>2.9444389791664403</v>
      </c>
      <c r="M666">
        <f t="shared" si="21"/>
        <v>3.8264651170664994</v>
      </c>
    </row>
    <row r="667" spans="1:13" x14ac:dyDescent="0.2">
      <c r="A667" t="s">
        <v>458</v>
      </c>
      <c r="B667" t="s">
        <v>12</v>
      </c>
      <c r="C667" s="1" t="d">
        <v>2018-02-01</v>
      </c>
      <c r="D667">
        <v>16</v>
      </c>
      <c r="E667">
        <v>45.9</v>
      </c>
      <c r="F667">
        <v>734.4</v>
      </c>
      <c r="G667" s="2" t="s">
        <v>39</v>
      </c>
      <c r="H667" s="2" t="s">
        <v>459</v>
      </c>
      <c r="I667">
        <v>20</v>
      </c>
      <c r="J667">
        <v>8</v>
      </c>
      <c r="K667">
        <v>2</v>
      </c>
      <c r="L667">
        <f t="shared" si="20"/>
        <v>2.7725887222397811</v>
      </c>
      <c r="M667">
        <f t="shared" si="21"/>
        <v>3.8264651170664994</v>
      </c>
    </row>
    <row r="668" spans="1:13" x14ac:dyDescent="0.2">
      <c r="A668" t="s">
        <v>458</v>
      </c>
      <c r="B668" t="s">
        <v>12</v>
      </c>
      <c r="C668" s="1" t="d">
        <v>2018-03-01</v>
      </c>
      <c r="D668">
        <v>8</v>
      </c>
      <c r="E668">
        <v>47.9</v>
      </c>
      <c r="F668">
        <v>383.2</v>
      </c>
      <c r="G668" s="2" t="s">
        <v>39</v>
      </c>
      <c r="H668" s="2" t="s">
        <v>461</v>
      </c>
      <c r="I668">
        <v>22</v>
      </c>
      <c r="J668">
        <v>9</v>
      </c>
      <c r="K668">
        <v>1</v>
      </c>
      <c r="L668">
        <f t="shared" si="20"/>
        <v>2.0794415416798357</v>
      </c>
      <c r="M668">
        <f t="shared" si="21"/>
        <v>3.8691155044168695</v>
      </c>
    </row>
    <row r="669" spans="1:13" x14ac:dyDescent="0.2">
      <c r="A669" t="s">
        <v>458</v>
      </c>
      <c r="B669" t="s">
        <v>12</v>
      </c>
      <c r="C669" s="1" t="d">
        <v>2018-04-01</v>
      </c>
      <c r="D669">
        <v>7</v>
      </c>
      <c r="E669">
        <v>47.9</v>
      </c>
      <c r="F669">
        <v>335.3</v>
      </c>
      <c r="G669" s="2" t="s">
        <v>39</v>
      </c>
      <c r="H669" s="2" t="s">
        <v>461</v>
      </c>
      <c r="I669">
        <v>21</v>
      </c>
      <c r="J669">
        <v>9</v>
      </c>
      <c r="K669">
        <v>1</v>
      </c>
      <c r="L669">
        <f t="shared" si="20"/>
        <v>1.9459101490553132</v>
      </c>
      <c r="M669">
        <f t="shared" si="21"/>
        <v>3.8691155044168695</v>
      </c>
    </row>
    <row r="670" spans="1:13" x14ac:dyDescent="0.2">
      <c r="A670" t="s">
        <v>458</v>
      </c>
      <c r="B670" t="s">
        <v>12</v>
      </c>
      <c r="C670" s="1" t="d">
        <v>2018-05-01</v>
      </c>
      <c r="D670">
        <v>2</v>
      </c>
      <c r="E670">
        <v>47.9</v>
      </c>
      <c r="F670">
        <v>95.8</v>
      </c>
      <c r="G670" s="2" t="s">
        <v>39</v>
      </c>
      <c r="H670" s="2" t="s">
        <v>461</v>
      </c>
      <c r="I670">
        <v>23</v>
      </c>
      <c r="J670">
        <v>8</v>
      </c>
      <c r="K670">
        <v>3</v>
      </c>
      <c r="L670">
        <f t="shared" si="20"/>
        <v>0.69314718055994529</v>
      </c>
      <c r="M670">
        <f t="shared" si="21"/>
        <v>3.8691155044168695</v>
      </c>
    </row>
    <row r="671" spans="1:13" x14ac:dyDescent="0.2">
      <c r="A671" t="s">
        <v>458</v>
      </c>
      <c r="B671" t="s">
        <v>12</v>
      </c>
      <c r="C671" s="1" t="d">
        <v>2018-06-01</v>
      </c>
      <c r="D671">
        <v>4</v>
      </c>
      <c r="E671">
        <v>47.9</v>
      </c>
      <c r="F671">
        <v>191.6</v>
      </c>
      <c r="G671" s="2" t="s">
        <v>39</v>
      </c>
      <c r="H671" s="2" t="s">
        <v>461</v>
      </c>
      <c r="I671">
        <v>21</v>
      </c>
      <c r="J671">
        <v>9</v>
      </c>
      <c r="K671">
        <v>0</v>
      </c>
      <c r="L671">
        <f t="shared" si="20"/>
        <v>1.3862943611198906</v>
      </c>
      <c r="M671">
        <f t="shared" si="21"/>
        <v>3.8691155044168695</v>
      </c>
    </row>
    <row r="672" spans="1:13" x14ac:dyDescent="0.2">
      <c r="A672" t="s">
        <v>458</v>
      </c>
      <c r="B672" t="s">
        <v>12</v>
      </c>
      <c r="C672" s="1" t="d">
        <v>2018-07-01</v>
      </c>
      <c r="D672">
        <v>2</v>
      </c>
      <c r="E672">
        <v>47.9</v>
      </c>
      <c r="F672">
        <v>95.8</v>
      </c>
      <c r="G672" s="2" t="s">
        <v>39</v>
      </c>
      <c r="H672" s="2" t="s">
        <v>461</v>
      </c>
      <c r="I672">
        <v>22</v>
      </c>
      <c r="J672">
        <v>9</v>
      </c>
      <c r="K672">
        <v>1</v>
      </c>
      <c r="L672">
        <f t="shared" si="20"/>
        <v>0.69314718055994529</v>
      </c>
      <c r="M672">
        <f t="shared" si="21"/>
        <v>3.8691155044168695</v>
      </c>
    </row>
    <row r="673" spans="1:13" x14ac:dyDescent="0.2">
      <c r="A673" t="s">
        <v>462</v>
      </c>
      <c r="B673" t="s">
        <v>12</v>
      </c>
      <c r="C673" s="1" t="d">
        <v>2017-05-01</v>
      </c>
      <c r="D673">
        <v>1</v>
      </c>
      <c r="E673">
        <v>215</v>
      </c>
      <c r="F673">
        <v>215</v>
      </c>
      <c r="G673" s="2" t="s">
        <v>13</v>
      </c>
      <c r="H673" s="2" t="s">
        <v>463</v>
      </c>
      <c r="I673">
        <v>23</v>
      </c>
      <c r="J673">
        <v>8</v>
      </c>
      <c r="K673">
        <v>1</v>
      </c>
      <c r="L673">
        <f t="shared" si="20"/>
        <v>0</v>
      </c>
      <c r="M673">
        <f t="shared" si="21"/>
        <v>5.3706380281276624</v>
      </c>
    </row>
    <row r="674" spans="1:13" x14ac:dyDescent="0.2">
      <c r="A674" t="s">
        <v>462</v>
      </c>
      <c r="B674" t="s">
        <v>12</v>
      </c>
      <c r="C674" s="1" t="d">
        <v>2017-06-01</v>
      </c>
      <c r="D674">
        <v>10</v>
      </c>
      <c r="E674">
        <v>209</v>
      </c>
      <c r="F674">
        <v>2090</v>
      </c>
      <c r="G674" s="2" t="s">
        <v>13</v>
      </c>
      <c r="H674" s="2" t="s">
        <v>464</v>
      </c>
      <c r="I674">
        <v>22</v>
      </c>
      <c r="J674">
        <v>8</v>
      </c>
      <c r="K674">
        <v>1</v>
      </c>
      <c r="L674">
        <f t="shared" si="20"/>
        <v>2.3025850929940459</v>
      </c>
      <c r="M674">
        <f t="shared" si="21"/>
        <v>5.3423342519648109</v>
      </c>
    </row>
    <row r="675" spans="1:13" x14ac:dyDescent="0.2">
      <c r="A675" t="s">
        <v>462</v>
      </c>
      <c r="B675" t="s">
        <v>12</v>
      </c>
      <c r="C675" s="1" t="d">
        <v>2017-07-01</v>
      </c>
      <c r="D675">
        <v>59</v>
      </c>
      <c r="E675">
        <v>205</v>
      </c>
      <c r="F675">
        <v>12095</v>
      </c>
      <c r="G675" s="2" t="s">
        <v>13</v>
      </c>
      <c r="H675" s="2" t="s">
        <v>465</v>
      </c>
      <c r="I675">
        <v>21</v>
      </c>
      <c r="J675">
        <v>10</v>
      </c>
      <c r="K675">
        <v>1</v>
      </c>
      <c r="L675">
        <f t="shared" si="20"/>
        <v>4.0775374439057197</v>
      </c>
      <c r="M675">
        <f t="shared" si="21"/>
        <v>5.3230099791384085</v>
      </c>
    </row>
    <row r="676" spans="1:13" x14ac:dyDescent="0.2">
      <c r="A676" t="s">
        <v>462</v>
      </c>
      <c r="B676" t="s">
        <v>12</v>
      </c>
      <c r="C676" s="1" t="d">
        <v>2017-08-01</v>
      </c>
      <c r="D676">
        <v>52</v>
      </c>
      <c r="E676">
        <v>199.50980390000001</v>
      </c>
      <c r="F676" s="2" t="s">
        <v>466</v>
      </c>
      <c r="G676" s="2" t="s">
        <v>13</v>
      </c>
      <c r="H676">
        <v>48.660927780487803</v>
      </c>
      <c r="I676">
        <v>23</v>
      </c>
      <c r="J676">
        <v>8</v>
      </c>
      <c r="K676">
        <v>1</v>
      </c>
      <c r="L676">
        <f t="shared" si="20"/>
        <v>3.9512437185814275</v>
      </c>
      <c r="M676">
        <f t="shared" si="21"/>
        <v>5.2958633774783621</v>
      </c>
    </row>
    <row r="677" spans="1:13" x14ac:dyDescent="0.2">
      <c r="A677" t="s">
        <v>462</v>
      </c>
      <c r="B677" t="s">
        <v>12</v>
      </c>
      <c r="C677" s="1" t="d">
        <v>2017-09-01</v>
      </c>
      <c r="D677">
        <v>32</v>
      </c>
      <c r="E677">
        <v>163.39870970000001</v>
      </c>
      <c r="F677">
        <v>5228.7587104000004</v>
      </c>
      <c r="G677" s="2" t="s">
        <v>13</v>
      </c>
      <c r="H677" s="2" t="s">
        <v>467</v>
      </c>
      <c r="I677">
        <v>21</v>
      </c>
      <c r="J677">
        <v>9</v>
      </c>
      <c r="K677">
        <v>1</v>
      </c>
      <c r="L677">
        <f t="shared" si="20"/>
        <v>3.4657359027997265</v>
      </c>
      <c r="M677">
        <f t="shared" si="21"/>
        <v>5.0961932858218972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elasticity_input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Vanij Prasher</dc:creator>
  <cp:lastModifiedBy>Vanij Prasher</cp:lastModifiedBy>
  <dcterms:created xsi:type="dcterms:W3CDTF">2025-12-30T19:44:50Z</dcterms:created>
  <dcterms:modified xsi:type="dcterms:W3CDTF">2025-12-30T20:15:52Z</dcterms:modified>
</cp:coreProperties>
</file>